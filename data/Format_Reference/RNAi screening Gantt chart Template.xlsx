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adishms/Desktop/Projects.nosync/fl.AI-reagent-stocker/data/Format_Reference/"/>
    </mc:Choice>
  </mc:AlternateContent>
  <xr:revisionPtr revIDLastSave="0" documentId="13_ncr:1_{9F5B6858-4C08-8C4D-8027-D5C67534FA33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Timeline 1" sheetId="1" r:id="rId1"/>
    <sheet name="experiments" sheetId="2" r:id="rId2"/>
    <sheet name="Masterlist" sheetId="3" r:id="rId3"/>
  </sheets>
  <definedNames>
    <definedName name="Z_7D63D7B3_FA9A_471A_99D7_0330874A94DE_.wvu.FilterData" localSheetId="2" hidden="1">Masterlist!$A$1:$AG$197</definedName>
    <definedName name="Z_A55A1127_40B6_4521_877A_DA079FA826D3_.wvu.FilterData" localSheetId="2" hidden="1">Masterlist!$A$1:$AG$197</definedName>
  </definedNames>
  <calcPr calcId="191029"/>
  <customWorkbookViews>
    <customWorkbookView name="Filter 1" guid="{7D63D7B3-FA9A-471A-99D7-0330874A94DE}" maximized="1" windowWidth="0" windowHeight="0" activeSheetId="0"/>
    <customWorkbookView name="Group by Source" guid="{A55A1127-40B6-4521-877A-DA079FA826D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98" i="3" l="1"/>
  <c r="AN197" i="3"/>
  <c r="C197" i="3"/>
  <c r="AN196" i="3"/>
  <c r="C196" i="3"/>
  <c r="AN195" i="3"/>
  <c r="C195" i="3"/>
  <c r="AN194" i="3"/>
  <c r="C194" i="3"/>
  <c r="AN193" i="3"/>
  <c r="C193" i="3"/>
  <c r="AN192" i="3"/>
  <c r="C192" i="3"/>
  <c r="AN191" i="3"/>
  <c r="C191" i="3"/>
  <c r="AN190" i="3"/>
  <c r="C190" i="3"/>
  <c r="AN189" i="3"/>
  <c r="C189" i="3"/>
  <c r="AN188" i="3"/>
  <c r="C188" i="3"/>
  <c r="AN187" i="3"/>
  <c r="C187" i="3"/>
  <c r="AN186" i="3"/>
  <c r="C186" i="3"/>
  <c r="AN185" i="3"/>
  <c r="C185" i="3"/>
  <c r="AN184" i="3"/>
  <c r="C184" i="3"/>
  <c r="AN183" i="3"/>
  <c r="C183" i="3"/>
  <c r="AN182" i="3"/>
  <c r="C182" i="3"/>
  <c r="AN181" i="3"/>
  <c r="C181" i="3"/>
  <c r="AN180" i="3"/>
  <c r="C180" i="3"/>
  <c r="AN179" i="3"/>
  <c r="C179" i="3"/>
  <c r="AN178" i="3"/>
  <c r="C178" i="3"/>
  <c r="AN177" i="3"/>
  <c r="C177" i="3"/>
  <c r="AN176" i="3"/>
  <c r="C176" i="3"/>
  <c r="AN175" i="3"/>
  <c r="C175" i="3"/>
  <c r="AN174" i="3"/>
  <c r="C174" i="3"/>
  <c r="AN173" i="3"/>
  <c r="C173" i="3"/>
  <c r="AN172" i="3"/>
  <c r="C172" i="3"/>
  <c r="AN171" i="3"/>
  <c r="C171" i="3"/>
  <c r="AN170" i="3"/>
  <c r="C170" i="3"/>
  <c r="AN169" i="3"/>
  <c r="C169" i="3"/>
  <c r="AN168" i="3"/>
  <c r="C168" i="3"/>
  <c r="AN167" i="3"/>
  <c r="C167" i="3"/>
  <c r="AN166" i="3"/>
  <c r="C166" i="3"/>
  <c r="AN165" i="3"/>
  <c r="C165" i="3"/>
  <c r="AN164" i="3"/>
  <c r="C164" i="3"/>
  <c r="AN163" i="3"/>
  <c r="C163" i="3"/>
  <c r="AN162" i="3"/>
  <c r="C162" i="3"/>
  <c r="AN161" i="3"/>
  <c r="C161" i="3"/>
  <c r="AN160" i="3"/>
  <c r="C160" i="3"/>
  <c r="AN159" i="3"/>
  <c r="C159" i="3"/>
  <c r="AN158" i="3"/>
  <c r="C158" i="3"/>
  <c r="AN157" i="3"/>
  <c r="C157" i="3"/>
  <c r="AN156" i="3"/>
  <c r="C156" i="3"/>
  <c r="AN155" i="3"/>
  <c r="C155" i="3"/>
  <c r="AN154" i="3"/>
  <c r="C154" i="3"/>
  <c r="AN153" i="3"/>
  <c r="C153" i="3"/>
  <c r="AN152" i="3"/>
  <c r="C152" i="3"/>
  <c r="AN151" i="3"/>
  <c r="C151" i="3"/>
  <c r="AN150" i="3"/>
  <c r="C150" i="3"/>
  <c r="AN149" i="3"/>
  <c r="C149" i="3"/>
  <c r="AN148" i="3"/>
  <c r="C148" i="3"/>
  <c r="AN147" i="3"/>
  <c r="C147" i="3"/>
  <c r="AN146" i="3"/>
  <c r="C146" i="3"/>
  <c r="AN145" i="3"/>
  <c r="C145" i="3"/>
  <c r="AN144" i="3"/>
  <c r="C144" i="3"/>
  <c r="AN143" i="3"/>
  <c r="C143" i="3"/>
  <c r="AN142" i="3"/>
  <c r="C142" i="3"/>
  <c r="AN141" i="3"/>
  <c r="C141" i="3"/>
  <c r="AN140" i="3"/>
  <c r="C140" i="3"/>
  <c r="AN139" i="3"/>
  <c r="C139" i="3"/>
  <c r="AN138" i="3"/>
  <c r="C138" i="3"/>
  <c r="AN137" i="3"/>
  <c r="C137" i="3"/>
  <c r="AN136" i="3"/>
  <c r="C136" i="3"/>
  <c r="AN135" i="3"/>
  <c r="C135" i="3"/>
  <c r="AN134" i="3"/>
  <c r="C134" i="3"/>
  <c r="AN133" i="3"/>
  <c r="C133" i="3"/>
  <c r="AN132" i="3"/>
  <c r="C132" i="3"/>
  <c r="AN131" i="3"/>
  <c r="C131" i="3"/>
  <c r="AN130" i="3"/>
  <c r="C130" i="3"/>
  <c r="AN129" i="3"/>
  <c r="C129" i="3"/>
  <c r="AN128" i="3"/>
  <c r="C128" i="3"/>
  <c r="AN127" i="3"/>
  <c r="C127" i="3"/>
  <c r="AN126" i="3"/>
  <c r="C126" i="3"/>
  <c r="AN125" i="3"/>
  <c r="C125" i="3"/>
  <c r="AN124" i="3"/>
  <c r="C124" i="3"/>
  <c r="AN123" i="3"/>
  <c r="C123" i="3"/>
  <c r="AN122" i="3"/>
  <c r="C122" i="3"/>
  <c r="AN121" i="3"/>
  <c r="C121" i="3"/>
  <c r="AN120" i="3"/>
  <c r="C120" i="3"/>
  <c r="AN119" i="3"/>
  <c r="C119" i="3"/>
  <c r="AN118" i="3"/>
  <c r="C118" i="3"/>
  <c r="AN117" i="3"/>
  <c r="C117" i="3"/>
  <c r="AN116" i="3"/>
  <c r="C116" i="3"/>
  <c r="AN115" i="3"/>
  <c r="C115" i="3"/>
  <c r="AN114" i="3"/>
  <c r="C114" i="3"/>
  <c r="AN113" i="3"/>
  <c r="C113" i="3"/>
  <c r="AN112" i="3"/>
  <c r="C112" i="3"/>
  <c r="AN111" i="3"/>
  <c r="C111" i="3"/>
  <c r="AN110" i="3"/>
  <c r="C110" i="3"/>
  <c r="AN109" i="3"/>
  <c r="C109" i="3"/>
  <c r="AN108" i="3"/>
  <c r="C108" i="3"/>
  <c r="AN107" i="3"/>
  <c r="C107" i="3"/>
  <c r="AN106" i="3"/>
  <c r="C106" i="3"/>
  <c r="AN105" i="3"/>
  <c r="C105" i="3"/>
  <c r="AN104" i="3"/>
  <c r="C104" i="3"/>
  <c r="AN103" i="3"/>
  <c r="C103" i="3"/>
  <c r="AN102" i="3"/>
  <c r="C102" i="3"/>
  <c r="AN101" i="3"/>
  <c r="C101" i="3"/>
  <c r="AN100" i="3"/>
  <c r="C100" i="3"/>
  <c r="AN99" i="3"/>
  <c r="C99" i="3"/>
  <c r="AN98" i="3"/>
  <c r="C98" i="3"/>
  <c r="AN97" i="3"/>
  <c r="C97" i="3"/>
  <c r="AN96" i="3"/>
  <c r="C96" i="3"/>
  <c r="AN95" i="3"/>
  <c r="C95" i="3"/>
  <c r="AN94" i="3"/>
  <c r="C94" i="3"/>
  <c r="AN93" i="3"/>
  <c r="C93" i="3"/>
  <c r="AN92" i="3"/>
  <c r="C92" i="3"/>
  <c r="AN91" i="3"/>
  <c r="C91" i="3"/>
  <c r="AN90" i="3"/>
  <c r="C90" i="3"/>
  <c r="AN89" i="3"/>
  <c r="C89" i="3"/>
  <c r="AN88" i="3"/>
  <c r="C88" i="3"/>
  <c r="AN87" i="3"/>
  <c r="C87" i="3"/>
  <c r="AN86" i="3"/>
  <c r="C86" i="3"/>
  <c r="AN85" i="3"/>
  <c r="C85" i="3"/>
  <c r="AN84" i="3"/>
  <c r="C84" i="3"/>
  <c r="AN83" i="3"/>
  <c r="C83" i="3"/>
  <c r="AN82" i="3"/>
  <c r="C82" i="3"/>
  <c r="AN81" i="3"/>
  <c r="C81" i="3"/>
  <c r="AN80" i="3"/>
  <c r="C80" i="3"/>
  <c r="AN79" i="3"/>
  <c r="C79" i="3"/>
  <c r="AN78" i="3"/>
  <c r="C78" i="3"/>
  <c r="AN77" i="3"/>
  <c r="C77" i="3"/>
  <c r="AN76" i="3"/>
  <c r="C76" i="3"/>
  <c r="AN75" i="3"/>
  <c r="C75" i="3"/>
  <c r="AN74" i="3"/>
  <c r="C74" i="3"/>
  <c r="AN73" i="3"/>
  <c r="C73" i="3"/>
  <c r="AN72" i="3"/>
  <c r="C72" i="3"/>
  <c r="AN71" i="3"/>
  <c r="C71" i="3"/>
  <c r="AN70" i="3"/>
  <c r="C70" i="3"/>
  <c r="AN69" i="3"/>
  <c r="C69" i="3"/>
  <c r="AN68" i="3"/>
  <c r="C68" i="3"/>
  <c r="AN67" i="3"/>
  <c r="C67" i="3"/>
  <c r="AN66" i="3"/>
  <c r="C66" i="3"/>
  <c r="AN65" i="3"/>
  <c r="C65" i="3"/>
  <c r="AN64" i="3"/>
  <c r="C64" i="3"/>
  <c r="AN63" i="3"/>
  <c r="C63" i="3"/>
  <c r="AN62" i="3"/>
  <c r="C62" i="3"/>
  <c r="AN61" i="3"/>
  <c r="C61" i="3"/>
  <c r="AN60" i="3"/>
  <c r="C60" i="3"/>
  <c r="AN59" i="3"/>
  <c r="C59" i="3"/>
  <c r="AN58" i="3"/>
  <c r="C58" i="3"/>
  <c r="AN57" i="3"/>
  <c r="C57" i="3"/>
  <c r="AN56" i="3"/>
  <c r="C56" i="3"/>
  <c r="AN55" i="3"/>
  <c r="C55" i="3"/>
  <c r="AN54" i="3"/>
  <c r="C54" i="3"/>
  <c r="AN53" i="3"/>
  <c r="C53" i="3"/>
  <c r="AN52" i="3"/>
  <c r="C52" i="3"/>
  <c r="AN51" i="3"/>
  <c r="C51" i="3"/>
  <c r="AN50" i="3"/>
  <c r="C50" i="3"/>
  <c r="AN49" i="3"/>
  <c r="C49" i="3"/>
  <c r="AN48" i="3"/>
  <c r="C48" i="3"/>
  <c r="AN47" i="3"/>
  <c r="C47" i="3"/>
  <c r="AN46" i="3"/>
  <c r="C46" i="3"/>
  <c r="AN45" i="3"/>
  <c r="C45" i="3"/>
  <c r="AN44" i="3"/>
  <c r="C44" i="3"/>
  <c r="AN43" i="3"/>
  <c r="C43" i="3"/>
  <c r="AN42" i="3"/>
  <c r="C42" i="3"/>
  <c r="AN41" i="3"/>
  <c r="C41" i="3"/>
  <c r="AN40" i="3"/>
  <c r="C40" i="3"/>
  <c r="AN39" i="3"/>
  <c r="C39" i="3"/>
  <c r="AN38" i="3"/>
  <c r="C38" i="3"/>
  <c r="AN37" i="3"/>
  <c r="C37" i="3"/>
  <c r="AN36" i="3"/>
  <c r="C36" i="3"/>
  <c r="AN35" i="3"/>
  <c r="C35" i="3"/>
  <c r="AN34" i="3"/>
  <c r="C34" i="3"/>
  <c r="AN33" i="3"/>
  <c r="C33" i="3"/>
  <c r="AN32" i="3"/>
  <c r="C32" i="3"/>
  <c r="AN31" i="3"/>
  <c r="C31" i="3"/>
  <c r="AN30" i="3"/>
  <c r="C30" i="3"/>
  <c r="AN29" i="3"/>
  <c r="C29" i="3"/>
  <c r="AN28" i="3"/>
  <c r="C28" i="3"/>
  <c r="AN27" i="3"/>
  <c r="C27" i="3"/>
  <c r="AN26" i="3"/>
  <c r="C26" i="3"/>
  <c r="AN25" i="3"/>
  <c r="C25" i="3"/>
  <c r="AN24" i="3"/>
  <c r="C24" i="3"/>
  <c r="AN23" i="3"/>
  <c r="C23" i="3"/>
  <c r="AN22" i="3"/>
  <c r="C22" i="3"/>
  <c r="AN21" i="3"/>
  <c r="C21" i="3"/>
  <c r="AN20" i="3"/>
  <c r="C20" i="3"/>
  <c r="AN19" i="3"/>
  <c r="C19" i="3"/>
  <c r="AN18" i="3"/>
  <c r="C18" i="3"/>
  <c r="AN17" i="3"/>
  <c r="C17" i="3"/>
  <c r="AN16" i="3"/>
  <c r="C16" i="3"/>
  <c r="AN15" i="3"/>
  <c r="C15" i="3"/>
  <c r="AN14" i="3"/>
  <c r="C14" i="3"/>
  <c r="AN13" i="3"/>
  <c r="C13" i="3"/>
  <c r="AN12" i="3"/>
  <c r="C12" i="3"/>
  <c r="AN11" i="3"/>
  <c r="C11" i="3"/>
  <c r="AN10" i="3"/>
  <c r="C10" i="3"/>
  <c r="AN9" i="3"/>
  <c r="C9" i="3"/>
  <c r="AN8" i="3"/>
  <c r="C8" i="3"/>
  <c r="AN7" i="3"/>
  <c r="C7" i="3"/>
  <c r="AN6" i="3"/>
  <c r="C6" i="3"/>
  <c r="AN5" i="3"/>
  <c r="C5" i="3"/>
  <c r="AN4" i="3"/>
  <c r="C4" i="3"/>
  <c r="AN3" i="3"/>
  <c r="C3" i="3"/>
  <c r="C2" i="3"/>
  <c r="E131" i="2"/>
  <c r="D131" i="2"/>
  <c r="E130" i="2"/>
  <c r="D130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G111" i="2"/>
  <c r="E111" i="2"/>
  <c r="D111" i="2"/>
  <c r="G110" i="2"/>
  <c r="E110" i="2"/>
  <c r="D110" i="2"/>
  <c r="G109" i="2"/>
  <c r="E109" i="2"/>
  <c r="D109" i="2"/>
  <c r="G108" i="2"/>
  <c r="E108" i="2"/>
  <c r="D108" i="2"/>
  <c r="G107" i="2"/>
  <c r="E107" i="2"/>
  <c r="D107" i="2"/>
  <c r="G106" i="2"/>
  <c r="E106" i="2"/>
  <c r="D106" i="2"/>
  <c r="G105" i="2"/>
  <c r="E105" i="2"/>
  <c r="D105" i="2"/>
  <c r="G104" i="2"/>
  <c r="E104" i="2"/>
  <c r="D104" i="2"/>
  <c r="G103" i="2"/>
  <c r="E103" i="2"/>
  <c r="D103" i="2"/>
  <c r="G102" i="2"/>
  <c r="E102" i="2"/>
  <c r="D102" i="2"/>
  <c r="G101" i="2"/>
  <c r="E101" i="2"/>
  <c r="D101" i="2"/>
  <c r="G100" i="2"/>
  <c r="E100" i="2"/>
  <c r="D100" i="2"/>
  <c r="G99" i="2"/>
  <c r="E99" i="2"/>
  <c r="G98" i="2"/>
  <c r="D98" i="2"/>
  <c r="G97" i="2"/>
  <c r="E97" i="2"/>
  <c r="D97" i="2"/>
  <c r="G96" i="2"/>
  <c r="E96" i="2"/>
  <c r="D96" i="2"/>
  <c r="G95" i="2"/>
  <c r="E95" i="2"/>
  <c r="D95" i="2"/>
  <c r="G94" i="2"/>
  <c r="E94" i="2"/>
  <c r="D94" i="2"/>
  <c r="G93" i="2"/>
  <c r="E93" i="2"/>
  <c r="D93" i="2"/>
  <c r="G92" i="2"/>
  <c r="D92" i="2"/>
  <c r="G91" i="2"/>
  <c r="D91" i="2"/>
  <c r="G90" i="2"/>
  <c r="D90" i="2"/>
  <c r="G89" i="2"/>
  <c r="D89" i="2"/>
  <c r="G88" i="2"/>
  <c r="E88" i="2"/>
  <c r="D88" i="2"/>
  <c r="G87" i="2"/>
  <c r="E87" i="2"/>
  <c r="D87" i="2"/>
  <c r="G86" i="2"/>
  <c r="D86" i="2"/>
  <c r="G85" i="2"/>
  <c r="D85" i="2"/>
  <c r="G84" i="2"/>
  <c r="D84" i="2"/>
  <c r="G83" i="2"/>
  <c r="E83" i="2"/>
  <c r="D83" i="2"/>
  <c r="G82" i="2"/>
  <c r="E82" i="2"/>
  <c r="D82" i="2"/>
  <c r="G81" i="2"/>
  <c r="E81" i="2"/>
  <c r="D81" i="2"/>
  <c r="G80" i="2"/>
  <c r="D80" i="2"/>
</calcChain>
</file>

<file path=xl/sharedStrings.xml><?xml version="1.0" encoding="utf-8"?>
<sst xmlns="http://schemas.openxmlformats.org/spreadsheetml/2006/main" count="1780" uniqueCount="348">
  <si>
    <t>Project</t>
  </si>
  <si>
    <t>Name</t>
  </si>
  <si>
    <t>Start Date</t>
  </si>
  <si>
    <t>End Date</t>
  </si>
  <si>
    <t>Notes</t>
  </si>
  <si>
    <t>#</t>
  </si>
  <si>
    <t>Bloomington</t>
  </si>
  <si>
    <t>reagent</t>
  </si>
  <si>
    <t>yes</t>
  </si>
  <si>
    <t>IR1]</t>
  </si>
  <si>
    <t>7]</t>
  </si>
  <si>
    <t>b</t>
  </si>
  <si>
    <t>Act5C]</t>
  </si>
  <si>
    <t>shep</t>
  </si>
  <si>
    <t>y[1] sc[*] v[1] sev[21]; P{y[+t7.7] v[+t1.8]=TRiP.HMS00959}attP2/TM3, Sb[1]</t>
  </si>
  <si>
    <t>no</t>
  </si>
  <si>
    <t>attP2</t>
  </si>
  <si>
    <t>CR</t>
  </si>
  <si>
    <t>vGAT-Gal4</t>
  </si>
  <si>
    <t>reduction in sleep</t>
  </si>
  <si>
    <r>
      <rPr>
        <u/>
        <sz val="10"/>
        <color rgb="FF1155CC"/>
        <rFont val="Arial"/>
        <family val="2"/>
      </rPr>
      <t>The voltage-gated potassium channel Shaker promotes sleep via thermosensitive GABA transmission - PMC</t>
    </r>
  </si>
  <si>
    <t>Pdk</t>
  </si>
  <si>
    <t>y[1] sc[*] v[1] sev[21]; P{y[+t7.7] v[+t1.8]=TRiP.GL00009}attP2</t>
  </si>
  <si>
    <t>MH</t>
  </si>
  <si>
    <t>R23E10-GAL4; R23E10 ∩ VGlut-GAL4</t>
  </si>
  <si>
    <t>increased total sleep,</t>
  </si>
  <si>
    <r>
      <rPr>
        <u/>
        <sz val="10"/>
        <color rgb="FF1155CC"/>
        <rFont val="Arial"/>
        <family val="2"/>
      </rPr>
      <t>Mitochondrial origins of the pressure to sleep | Nature</t>
    </r>
  </si>
  <si>
    <t>y[1] v[1]; P{y[+t7.7] v[+t1.8]=TRiP.JF03050}attP2</t>
  </si>
  <si>
    <t>↓ sleep, ↓ rebound</t>
  </si>
  <si>
    <r>
      <rPr>
        <u/>
        <sz val="10"/>
        <color rgb="FF1155CC"/>
        <rFont val="Arial"/>
        <family val="2"/>
      </rPr>
      <t>Mitochondrial origins of the pressure to sleep | Nature</t>
    </r>
  </si>
  <si>
    <t>TfAP-2</t>
  </si>
  <si>
    <t>y[1] v[1]; P{y[+t7.7] v[+t1.8]=TRiP.JF03500}attP2</t>
  </si>
  <si>
    <t>AD+DBD MERGED</t>
  </si>
  <si>
    <r>
      <rPr>
        <u/>
        <sz val="10"/>
        <color rgb="FF1155CC"/>
        <rFont val="Arial"/>
        <family val="2"/>
      </rPr>
      <t>Mitochondrial origins of the pressure to sleep | Nature</t>
    </r>
  </si>
  <si>
    <t>jeb</t>
  </si>
  <si>
    <t>y[1] sc[*] v[1] sev[21]; P{y[+t7.7] v[+t1.8]=TRiP.HMC04318}attP40</t>
  </si>
  <si>
    <t>attP40</t>
  </si>
  <si>
    <t>CR, AD+DBD MERGED</t>
  </si>
  <si>
    <t>no significant</t>
  </si>
  <si>
    <r>
      <rPr>
        <u/>
        <sz val="10"/>
        <color rgb="FF1155CC"/>
        <rFont val="Arial"/>
        <family val="2"/>
      </rPr>
      <t>Mitochondrial origins of the pressure to sleep | Nature</t>
    </r>
  </si>
  <si>
    <t>y[1] sc[*] v[1] sev[21]; P{y[+t7.7] v[+t1.8]=TRiP.HMS02666}attP40</t>
  </si>
  <si>
    <t xml:space="preserve">↓ sleep </t>
  </si>
  <si>
    <r>
      <rPr>
        <u/>
        <sz val="10"/>
        <color rgb="FF1155CC"/>
        <rFont val="Arial"/>
        <family val="2"/>
      </rPr>
      <t>Mitochondrial origins of the pressure to sleep | Nature</t>
    </r>
  </si>
  <si>
    <t>CG9331</t>
  </si>
  <si>
    <t>y[1] sc[*] v[1] sev[21]; P{y[+t7.7] v[+t1.8]=TRiP.HMC05687}attP40</t>
  </si>
  <si>
    <t>domeMeso-Gal4</t>
  </si>
  <si>
    <t>Decrease in lymph gland size</t>
  </si>
  <si>
    <r>
      <rPr>
        <u/>
        <sz val="10"/>
        <color rgb="FF1155CC"/>
        <rFont val="Arial"/>
        <family val="2"/>
      </rPr>
      <t>Blood progenitor redox homeostasis through olfaction-derived systemic GABA in hematopoietic growth control in Drosophila - PMC</t>
    </r>
  </si>
  <si>
    <t>zuc</t>
  </si>
  <si>
    <t>y[1] sc[*] v[1] sev[21]; P{y[+t7.7] v[+t1.8]=TRiP.HMS03002}attP40</t>
  </si>
  <si>
    <r>
      <rPr>
        <u/>
        <sz val="10"/>
        <color rgb="FF1155CC"/>
        <rFont val="Arial"/>
        <family val="2"/>
      </rPr>
      <t>Blood progenitor redox homeostasis through olfaction-derived systemic GABA in hematopoietic growth control in Drosophila - PMC</t>
    </r>
  </si>
  <si>
    <t>mtd</t>
  </si>
  <si>
    <t>y[1] sc[*] v[1] sev[21]; P{y[+t7.7] v[+t1.8]=TRiP.HMS01666}attP2/TM3, Sb[1]</t>
  </si>
  <si>
    <t>Tubulin-Gal4</t>
  </si>
  <si>
    <t>progressive impairment of motor function, reflected in synaptic defects</t>
  </si>
  <si>
    <r>
      <rPr>
        <u/>
        <sz val="10"/>
        <color rgb="FF1155CC"/>
        <rFont val="Arial"/>
        <family val="2"/>
      </rPr>
      <t>EEFSEC deficiency: A selenopathy with early-onset neurodegeneration - PMC</t>
    </r>
  </si>
  <si>
    <t>Pde4 (dnc)</t>
  </si>
  <si>
    <t>y[1] v[1]; P{y[+t7.7] v[+t1.8]=TRiP.GL01226}attP2/TM3, Sb[1]</t>
  </si>
  <si>
    <t>Ddc</t>
  </si>
  <si>
    <t>y[1] v[1]; P{y[+t7.7] v[+t1.8]=TRiP.JF02356}attP2</t>
  </si>
  <si>
    <t>?</t>
  </si>
  <si>
    <t>mt:ND2</t>
  </si>
  <si>
    <t>y[1] sc[*] v[1] sev[21]; P{y[+t7.7] v[+t1.8]=TRiP.HMS05920}attP40</t>
  </si>
  <si>
    <t>AstA</t>
  </si>
  <si>
    <t>y[1] v[1]; P{y[+t7.7] v[+t1.8]=TRiP.JF01905}attP2</t>
  </si>
  <si>
    <t>69b-Gal4</t>
  </si>
  <si>
    <t>irregular muscle patterning</t>
  </si>
  <si>
    <t>Ssadh</t>
  </si>
  <si>
    <t>y[1] sc[*] v[1] sev[21]; P{y[+t7.7] v[+t1.8]=TRiP.HMC03868}attP40</t>
  </si>
  <si>
    <t>y[1] sc[*] v[1] sev[21]; P{y[+t7.7] v[+t1.8]=TRiP.GL00111}attP2</t>
  </si>
  <si>
    <t>PG] Scer\GAL4[VP16</t>
  </si>
  <si>
    <t>otu] sgg[GL00277]</t>
  </si>
  <si>
    <t>Tdc2-GAL4</t>
  </si>
  <si>
    <t>Increased meal size and hyperphagic response after starvation — knockdown flies tended to over-eat larger meals than controls, with slightly (but not always significantly) altered bout number.</t>
  </si>
  <si>
    <t>Mocs1</t>
  </si>
  <si>
    <t>y[1] v[1]; P{y[+t7.7] v[+t1.8]=TRiP.HMJ22833}attP40</t>
  </si>
  <si>
    <r>
      <rPr>
        <u/>
        <sz val="10"/>
        <color rgb="FF1155CC"/>
        <rFont val="Arial"/>
        <family val="2"/>
      </rPr>
      <t>Blood progenitor redox homeostasis through olfaction-derived systemic GABA in hematopoietic growth control in Drosophila - PMC</t>
    </r>
  </si>
  <si>
    <t>Marf</t>
  </si>
  <si>
    <t>w[*]; P{w[+mC]=UAS-Marf.RNAi.CDS.S}3</t>
  </si>
  <si>
    <t>CDS.S</t>
  </si>
  <si>
    <r>
      <rPr>
        <u/>
        <sz val="10"/>
        <color rgb="FF1155CC"/>
        <rFont val="Arial"/>
        <family val="2"/>
      </rPr>
      <t>Blood progenitor redox homeostasis through olfaction-derived systemic GABA in hematopoietic growth control in Drosophila - PMC</t>
    </r>
  </si>
  <si>
    <t>y[1] v[1]; P{y[+t7.7] v[+t1.8]=TRiP.JF01650}attP2</t>
  </si>
  <si>
    <t>-</t>
  </si>
  <si>
    <t>SCaMC</t>
  </si>
  <si>
    <t>y[1] sc[*] v[1] sev[21]; P{y[+t7.7] v[+t1.8]=TRiP.HMS05666}attP40</t>
  </si>
  <si>
    <t>elav-Gal4</t>
  </si>
  <si>
    <t>Neuronal mtdRNAi driven by the constitutively active elav-Gal4 induced developmental defects and severe lifespan reduction under both diets compared to TRiP (empty vector) control (Fig. 1e), similar to whole-body loss of mtd.</t>
  </si>
  <si>
    <r>
      <rPr>
        <u/>
        <sz val="10"/>
        <color rgb="FF1155CC"/>
        <rFont val="Arial"/>
        <family val="2"/>
      </rPr>
      <t>OXR1 maintains the retromer to delay brain aging under dietary restriction | Nature Communications</t>
    </r>
  </si>
  <si>
    <t>Scer-Gal4</t>
  </si>
  <si>
    <t>decreased cell number; decreased fecundity; decreased size; female germline cell; female sterile; germarium; ovary</t>
  </si>
  <si>
    <r>
      <rPr>
        <u/>
        <sz val="11"/>
        <color rgb="FF1155CC"/>
        <rFont val="Calibri, sans-serif"/>
      </rPr>
      <t>HemK2 functions for sufficient protein synthesis and RNA stability through eRF1 methylation during Drosophila oogenesis.</t>
    </r>
  </si>
  <si>
    <t>y[1] sc[*] v[1] sev[21]; P{y[+t7.7] v[+t1.8]=TRiP.HMC03576}attP40</t>
  </si>
  <si>
    <t>Pph13‑Gal4</t>
  </si>
  <si>
    <t>loss of a deep pseudopupil</t>
  </si>
  <si>
    <r>
      <rPr>
        <u/>
        <sz val="10"/>
        <color rgb="FF1155CC"/>
        <rFont val="Arial"/>
        <family val="2"/>
      </rPr>
      <t>A TRiP RNAi screen to identify molecules necessary for Drosophila photoreceptor differentiation - PMC</t>
    </r>
  </si>
  <si>
    <t>w[*]; P{w[+mC]=UAS-Drp1.RNAi.CDS.S}3/T(2;3)TSTL, CyO: TM6B, Tb[1]</t>
  </si>
  <si>
    <t>BG380-Gal4</t>
  </si>
  <si>
    <t>Budnik et al., 1996</t>
  </si>
  <si>
    <t>nhanced growth response of Drosophila motoneuron axons after nerve crush injury</t>
  </si>
  <si>
    <r>
      <rPr>
        <u/>
        <sz val="10"/>
        <color rgb="FF1155CC"/>
        <rFont val="Arial"/>
        <family val="2"/>
      </rPr>
      <t>An evolutionarily conserved mechanism for cAMP elicited axonal regeneration involves direct activation of the dual leucine zipper kinase DLK | eLife</t>
    </r>
  </si>
  <si>
    <t>y[1] sc[*] v[1] sev[21]; P{y[+t7.7] v[+t1.8]=TRiP.HMS00349}attP2</t>
  </si>
  <si>
    <t>en-Gal4</t>
  </si>
  <si>
    <r>
      <rPr>
        <u/>
        <sz val="10"/>
        <color rgb="FF1155CC"/>
        <rFont val="Arial"/>
        <family val="2"/>
      </rPr>
      <t>Downregulation of respiratory complex I mediates major signalling changes triggered by TOR activation - PMC</t>
    </r>
  </si>
  <si>
    <t>w[*]; Bl[1]/CyO; P{w[+mC]=UAS-Opa1.RNAi.CDS}3</t>
  </si>
  <si>
    <t>eya composite-GAL4</t>
  </si>
  <si>
    <t>a kind gift from Justin Kumar’s lab, Weasner et al. 2016</t>
  </si>
  <si>
    <t>rough eye</t>
  </si>
  <si>
    <r>
      <rPr>
        <u/>
        <sz val="10"/>
        <color rgb="FF1155CC"/>
        <rFont val="Arial"/>
        <family val="2"/>
      </rPr>
      <t>Genetic Screen Using the Drosophila melanogaster TRiP RNAi Collection To Identify Metabolic Enzymes Required for Eye Development | G3 Genes|Genomes|Genetics | Oxford Academic</t>
    </r>
  </si>
  <si>
    <t>y[1] sc[*] v[1] sev[21]; P{y[+t7.7] v[+t1.8]=TRiP.HMC03883}attP40</t>
  </si>
  <si>
    <t>glossy</t>
  </si>
  <si>
    <r>
      <rPr>
        <u/>
        <sz val="10"/>
        <color rgb="FF1155CC"/>
        <rFont val="Arial"/>
        <family val="2"/>
      </rPr>
      <t>Genetic Screen Using the Drosophila melanogaster TRiP RNAi Collection To Identify Metabolic Enzymes Required for Eye Development | G3 Genes|Genomes|Genetics | Oxford Academic</t>
    </r>
  </si>
  <si>
    <r>
      <rPr>
        <u/>
        <sz val="10"/>
        <color rgb="FF1155CC"/>
        <rFont val="Arial"/>
        <family val="2"/>
      </rPr>
      <t>Genetic Screen Using the Drosophila melanogaster TRiP RNAi Collection To Identify Metabolic Enzymes Required for Eye Development | G3 Genes|Genomes|Genetics | Oxford Academic</t>
    </r>
  </si>
  <si>
    <t>WT</t>
  </si>
  <si>
    <r>
      <rPr>
        <u/>
        <sz val="10"/>
        <color rgb="FF1155CC"/>
        <rFont val="Arial"/>
        <family val="2"/>
      </rPr>
      <t>Genetic Screen Using the Drosophila melanogaster TRiP RNAi Collection To Identify Metabolic Enzymes Required for Eye Development | G3 Genes|Genomes|Genetics | Oxford Academic</t>
    </r>
  </si>
  <si>
    <r>
      <rPr>
        <u/>
        <sz val="10"/>
        <color rgb="FF1155CC"/>
        <rFont val="Arial"/>
        <family val="2"/>
      </rPr>
      <t>Genetic Screen Using the Drosophila melanogaster TRiP RNAi Collection To Identify Metabolic Enzymes Required for Eye Development | G3 Genes|Genomes|Genetics | Oxford Academic</t>
    </r>
  </si>
  <si>
    <t>y[1] v[1]; P{y[+t7.7] v[+t1.8]=TRiP.GL01178}attP2</t>
  </si>
  <si>
    <t>ey-Gal4</t>
  </si>
  <si>
    <t>tissue undergrowth</t>
  </si>
  <si>
    <r>
      <rPr>
        <u/>
        <sz val="10"/>
        <color rgb="FF1155CC"/>
        <rFont val="Arial"/>
        <family val="2"/>
      </rPr>
      <t>Cross-Talk Between Mitochondrial Fusion and the Hippo Pathway in Controlling Cell Proliferation During Drosophila Development | Genetics | Oxford Academic</t>
    </r>
  </si>
  <si>
    <t>y[1] sc[*] v[1] sev[21]; P{y[+t7.7] v[+t1.8]=TRiP.GL01541}attP40</t>
  </si>
  <si>
    <t>GS</t>
  </si>
  <si>
    <t>misshapen</t>
  </si>
  <si>
    <r>
      <rPr>
        <u/>
        <sz val="10"/>
        <color rgb="FF1155CC"/>
        <rFont val="Arial"/>
        <family val="2"/>
      </rPr>
      <t>Genetic Screen Using the Drosophila melanogaster TRiP RNAi Collection To Identify Metabolic Enzymes Required for Eye Development | G3 Genes|Genomes|Genetics | Oxford Academic</t>
    </r>
  </si>
  <si>
    <t>y[1] sc[*] v[1] sev[21]; P{y[+t7.7] v[+t1.8]=TRiP.HMC03573}attP40</t>
  </si>
  <si>
    <r>
      <rPr>
        <u/>
        <sz val="10"/>
        <color rgb="FF1155CC"/>
        <rFont val="Arial"/>
        <family val="2"/>
      </rPr>
      <t>Genetic Screen Using the Drosophila melanogaster TRiP RNAi Collection To Identify Metabolic Enzymes Required for Eye Development | G3 Genes|Genomes|Genetics | Oxford Academic</t>
    </r>
  </si>
  <si>
    <t>w[1]; P{w[+mC]=UAS-Sod2.RNAi.K}15/SM5</t>
  </si>
  <si>
    <r>
      <rPr>
        <u/>
        <sz val="10"/>
        <color rgb="FF1155CC"/>
        <rFont val="Arial"/>
        <family val="2"/>
      </rPr>
      <t>Genetic Screen Using the Drosophila melanogaster TRiP RNAi Collection To Identify Metabolic Enzymes Required for Eye Development | G3 Genes|Genomes|Genetics | Oxford Academic</t>
    </r>
  </si>
  <si>
    <t>y[1] v[1]; P{y[+t7.7] v[+t1.8]=TRiP.GL01217}attP40</t>
  </si>
  <si>
    <t>y[1] v[1]; P{y[+t7.7] v[+t1.8]=TRiP.HM05071}attP2</t>
  </si>
  <si>
    <t>y[1] v[1]; P{y[+t7.7] v[+t1.8]=TRiP.JF03358}attP2</t>
  </si>
  <si>
    <t>y[1] v[1]; P{y[+t7.7] v[+t1.8]=TRiP.GLC01422}attP2</t>
  </si>
  <si>
    <t>y[1] v[1]; P{y[+t7.7] v[+t1.8]=TRiP.HMS05812}attP40</t>
  </si>
  <si>
    <t>y[1] sc[*] v[1] sev[21]; P{y[+t7.7] v[+t1.8]=TRiP.HMS02487}attP2</t>
  </si>
  <si>
    <t>y[1] v[1]; P{y[+t7.7] v[+t1.8]=TRiP.JF02561}attP2</t>
  </si>
  <si>
    <t>y[1] sc[*] v[1] sev[21]; P{y[+t7.7] v[+t1.8]=TRiP.HMC04814}attP40</t>
  </si>
  <si>
    <t>y[1] v[1]; P{y[+t7.7] v[+t1.8]=TRiP.HM05059}attP2</t>
  </si>
  <si>
    <t>y[1] sc[*] v[1] sev[21]; P{y[+t7.7] v[+t1.8]=TRiP.HMC05885}attP40</t>
  </si>
  <si>
    <t>Tag:MYC]</t>
  </si>
  <si>
    <t>y[1] v[1]; P{y[+t7.7] v[+t1.8]=TRiP.HM05104}attP2</t>
  </si>
  <si>
    <t>y[1] sc[*] v[1] sev[21]; P{y[+t7.7] v[+t1.8]=TRiP.HMC04106}attP40</t>
  </si>
  <si>
    <t>y[1] v[1]; P{y[+t7.7] v[+t1.8]=TRiP.HMJ21485}attP40</t>
  </si>
  <si>
    <t>y[1] v[1]; P{y[+t7.7] v[+t1.8]=TRiP.HMS01900}attP40</t>
  </si>
  <si>
    <t>y[1] v[1]; P{y[+t7.7] v[+t1.8]=TRiP.HMJ23156}attP40</t>
  </si>
  <si>
    <t>y[1] sc[*] v[1] sev[21]; P{y[+t7.7] v[+t1.8]=TRiP.HMC05968}attP40</t>
  </si>
  <si>
    <t>IVS</t>
  </si>
  <si>
    <t>20xUAS</t>
  </si>
  <si>
    <t>Venus]</t>
  </si>
  <si>
    <t>JFRC124]</t>
  </si>
  <si>
    <t>R13F02] Scer\GAL4[DBD</t>
  </si>
  <si>
    <t>R34A03]</t>
  </si>
  <si>
    <t>R77H08] TrissinR[UAS</t>
  </si>
  <si>
    <t>gRNAx3</t>
  </si>
  <si>
    <t>pCFD6]</t>
  </si>
  <si>
    <t>UAS]</t>
  </si>
  <si>
    <t>R70H02] Scer\GAL4[DBD</t>
  </si>
  <si>
    <t>R76F12]</t>
  </si>
  <si>
    <t>Tag:HA]</t>
  </si>
  <si>
    <t>otu] drongo[HMJ22758]</t>
  </si>
  <si>
    <t>GFP]</t>
  </si>
  <si>
    <t>Tag:V5,Tag:polyHis]</t>
  </si>
  <si>
    <t>PG] eRF1[HMS05812]</t>
  </si>
  <si>
    <t>R51D04] Hsap\RELA[AD</t>
  </si>
  <si>
    <t>R65B09]</t>
  </si>
  <si>
    <t>Pdf]</t>
  </si>
  <si>
    <t>R</t>
  </si>
  <si>
    <t>UAS</t>
  </si>
  <si>
    <t>cPa]</t>
  </si>
  <si>
    <t>Tag:FLAG]</t>
  </si>
  <si>
    <t>PA</t>
  </si>
  <si>
    <t>Tag:V5]</t>
  </si>
  <si>
    <t>cVa</t>
  </si>
  <si>
    <t>Tag:MYC,Tag:NLS(SV40-largeT)]</t>
  </si>
  <si>
    <t>PI]</t>
  </si>
  <si>
    <t>UASp]</t>
  </si>
  <si>
    <t>WIZ]</t>
  </si>
  <si>
    <t>UASp</t>
  </si>
  <si>
    <t>RR</t>
  </si>
  <si>
    <t>Vienna</t>
  </si>
  <si>
    <t>(v100163)</t>
  </si>
  <si>
    <t>(v100732)</t>
  </si>
  <si>
    <t>(v100767)</t>
  </si>
  <si>
    <t>(v101347)</t>
  </si>
  <si>
    <t>(v101538)</t>
  </si>
  <si>
    <t>(v103047)</t>
  </si>
  <si>
    <t>(v103985)</t>
  </si>
  <si>
    <t>(v104471)</t>
  </si>
  <si>
    <t>(v106702)</t>
  </si>
  <si>
    <t>(v106783)</t>
  </si>
  <si>
    <t>(v107560)</t>
  </si>
  <si>
    <t>(v107680)</t>
  </si>
  <si>
    <t>(v108087)</t>
  </si>
  <si>
    <t>(v108903)</t>
  </si>
  <si>
    <t>(v109239)</t>
  </si>
  <si>
    <t>(v109849)</t>
  </si>
  <si>
    <t>(v110735)</t>
  </si>
  <si>
    <t>(v12031)</t>
  </si>
  <si>
    <t>(v12781)</t>
  </si>
  <si>
    <t>(v19027)</t>
  </si>
  <si>
    <t>(v20869)</t>
  </si>
  <si>
    <t>(v21405)</t>
  </si>
  <si>
    <t>(v21406)</t>
  </si>
  <si>
    <t>(v23150)</t>
  </si>
  <si>
    <t>(v23151)</t>
  </si>
  <si>
    <t>(v24642)</t>
  </si>
  <si>
    <t>(v25742)</t>
  </si>
  <si>
    <t>(v26104)</t>
  </si>
  <si>
    <t>(v26106)</t>
  </si>
  <si>
    <t>(v27472)</t>
  </si>
  <si>
    <t>(v27473)</t>
  </si>
  <si>
    <t>(v28155)</t>
  </si>
  <si>
    <t>(v3329)</t>
  </si>
  <si>
    <t>(v34036)</t>
  </si>
  <si>
    <t>(v34037)</t>
  </si>
  <si>
    <t>(v34328)</t>
  </si>
  <si>
    <t>(v34330)</t>
  </si>
  <si>
    <t>(v37023)</t>
  </si>
  <si>
    <t>(v37830)</t>
  </si>
  <si>
    <t>(v37863)</t>
  </si>
  <si>
    <t>EGFP]</t>
  </si>
  <si>
    <t>(v38936)</t>
  </si>
  <si>
    <t>cUa]</t>
  </si>
  <si>
    <t>(v39384)</t>
  </si>
  <si>
    <t>(v39385)</t>
  </si>
  <si>
    <t>(v39769)</t>
  </si>
  <si>
    <t>(v42822)</t>
  </si>
  <si>
    <t>(v42947)</t>
  </si>
  <si>
    <t>(v43763)</t>
  </si>
  <si>
    <t>(v43781)</t>
  </si>
  <si>
    <t>(v44653)</t>
  </si>
  <si>
    <t>PU]</t>
  </si>
  <si>
    <t>(v45027)</t>
  </si>
  <si>
    <t>20xUAS] Scer\GAL4[VT057242]</t>
  </si>
  <si>
    <t>(v45697)</t>
  </si>
  <si>
    <t>(v46715)</t>
  </si>
  <si>
    <t>(v48072)</t>
  </si>
  <si>
    <t>(v48939)</t>
  </si>
  <si>
    <t>(v48941)</t>
  </si>
  <si>
    <t>(v52251)</t>
  </si>
  <si>
    <t>(v52497)</t>
  </si>
  <si>
    <t>(v5277)</t>
  </si>
  <si>
    <t>(v7139)</t>
  </si>
  <si>
    <t>(v9241)</t>
  </si>
  <si>
    <t>(v9921)</t>
  </si>
  <si>
    <t>(v15444)</t>
  </si>
  <si>
    <t>(v17214)</t>
  </si>
  <si>
    <t>(v18024)</t>
  </si>
  <si>
    <t>(v18025)</t>
  </si>
  <si>
    <t>(v19178)</t>
  </si>
  <si>
    <t>(v23327)</t>
  </si>
  <si>
    <t>(v24502)</t>
  </si>
  <si>
    <t>(v24597)</t>
  </si>
  <si>
    <t>(v25504)</t>
  </si>
  <si>
    <t>(v25506)</t>
  </si>
  <si>
    <t>(v26573)</t>
  </si>
  <si>
    <t>(v26574)</t>
  </si>
  <si>
    <t>(v26839)</t>
  </si>
  <si>
    <t>(v28259)</t>
  </si>
  <si>
    <t>(v2931)</t>
  </si>
  <si>
    <t>(v29439)</t>
  </si>
  <si>
    <t>(v30030)</t>
  </si>
  <si>
    <t>(v30474)</t>
  </si>
  <si>
    <t>(v30476)</t>
  </si>
  <si>
    <t>(v30757)</t>
  </si>
  <si>
    <t>(v30800)</t>
  </si>
  <si>
    <t>(v31375)</t>
  </si>
  <si>
    <t>(v31377)</t>
  </si>
  <si>
    <t>(v33246)</t>
  </si>
  <si>
    <t>10199R]</t>
  </si>
  <si>
    <t>(v33247)</t>
  </si>
  <si>
    <t>7574R]</t>
  </si>
  <si>
    <t>(v37966)</t>
  </si>
  <si>
    <t>(v39883)</t>
  </si>
  <si>
    <t>(v39884)</t>
  </si>
  <si>
    <t>(v40715)</t>
  </si>
  <si>
    <t>(v43639)</t>
  </si>
  <si>
    <t>(v43641)</t>
  </si>
  <si>
    <t>(v44360)</t>
  </si>
  <si>
    <t>(v51444)</t>
  </si>
  <si>
    <t>(v51759)</t>
  </si>
  <si>
    <t>(v7413)</t>
  </si>
  <si>
    <t>(v7889)</t>
  </si>
  <si>
    <t>(v9990)</t>
  </si>
  <si>
    <t>Screening Group</t>
  </si>
  <si>
    <t>Actual cross set date</t>
  </si>
  <si>
    <t>Finished (=27+B)</t>
  </si>
  <si>
    <t>Projected Start Date</t>
  </si>
  <si>
    <t>Projected End Date</t>
  </si>
  <si>
    <t>Notes/Function</t>
  </si>
  <si>
    <t>allele shorthand</t>
  </si>
  <si>
    <t>Gene</t>
  </si>
  <si>
    <t>Stock Source</t>
  </si>
  <si>
    <t>ID #</t>
  </si>
  <si>
    <t>RNAi Shorthand</t>
  </si>
  <si>
    <t>Full Stock Genotype</t>
  </si>
  <si>
    <t>balancers in stock?</t>
  </si>
  <si>
    <t>ordered? (date)</t>
  </si>
  <si>
    <t>location of stock</t>
  </si>
  <si>
    <t>Published Gal4/ Positive control</t>
  </si>
  <si>
    <t>Published Gal4 source</t>
  </si>
  <si>
    <t>Published phenotype</t>
  </si>
  <si>
    <t>Column 1</t>
  </si>
  <si>
    <t>Circadian/Sleep Relevance (embedding max score)</t>
  </si>
  <si>
    <t>Experimental Driver</t>
  </si>
  <si>
    <t>Gal4 control</t>
  </si>
  <si>
    <t>RNAi control</t>
  </si>
  <si>
    <t>Sleep promoting?</t>
  </si>
  <si>
    <t>Wake promoting?</t>
  </si>
  <si>
    <t xml:space="preserve">link to graph     </t>
  </si>
  <si>
    <t xml:space="preserve">   link to data</t>
  </si>
  <si>
    <t>related to sparkly</t>
  </si>
  <si>
    <t>jeb[HMC04318]</t>
  </si>
  <si>
    <t>BDSC</t>
  </si>
  <si>
    <t>HMC04318</t>
  </si>
  <si>
    <t>sc</t>
  </si>
  <si>
    <t>NP0423</t>
  </si>
  <si>
    <t>abnormal developmental rate</t>
  </si>
  <si>
    <t>PMC8428980</t>
  </si>
  <si>
    <t>Coordination among multiple receptor tyrosine kinase signals controls Drosophila developmental timing and body size.</t>
  </si>
  <si>
    <t>Pan, Xueyang; O'Connor, Michael B</t>
  </si>
  <si>
    <t>Cell reports</t>
  </si>
  <si>
    <t>RluA1;GAD1</t>
  </si>
  <si>
    <t>attP40; MiMIC Gal4</t>
  </si>
  <si>
    <t>attP40/attP2/6000/6001</t>
  </si>
  <si>
    <t>vGAT DEGs</t>
  </si>
  <si>
    <t>Y/N</t>
  </si>
  <si>
    <t>101402KK</t>
  </si>
  <si>
    <t>15444, 16717</t>
  </si>
  <si>
    <t>18024, 18025</t>
  </si>
  <si>
    <t>25504, 25506</t>
  </si>
  <si>
    <t>26104, 26106</t>
  </si>
  <si>
    <t>30474, 340476</t>
  </si>
  <si>
    <t>34328, 34330</t>
  </si>
  <si>
    <t>7574R-2</t>
  </si>
  <si>
    <t>Avg: 45396.84211</t>
  </si>
  <si>
    <t>Avg: 45638.875</t>
  </si>
  <si>
    <t>Avg: 45931.5</t>
  </si>
  <si>
    <t>Avg: 63899.875</t>
  </si>
  <si>
    <t>v103985</t>
  </si>
  <si>
    <t>v17214</t>
  </si>
  <si>
    <t>v28155</t>
  </si>
  <si>
    <t>v330053</t>
  </si>
  <si>
    <t>PMCID</t>
  </si>
  <si>
    <t>Reference (PMID)</t>
  </si>
  <si>
    <t>Reference Title</t>
  </si>
  <si>
    <t>Authors</t>
  </si>
  <si>
    <t>Journal</t>
  </si>
  <si>
    <t>Year Of Publicaton</t>
  </si>
  <si>
    <t>Gene Set/ 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</si>
</sst>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"/>
    <numFmt numFmtId="165" formatCode="m/d"/>
  </numFmts>
  <fonts count="39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rgb="FF434343"/>
      <name val="Arial"/>
      <family val="2"/>
    </font>
    <font>
      <u/>
      <sz val="10"/>
      <color rgb="FF434343"/>
      <name val="Arial"/>
      <family val="2"/>
    </font>
    <font>
      <sz val="10"/>
      <color rgb="FF434343"/>
      <name val="Roboto"/>
    </font>
    <font>
      <u/>
      <sz val="10"/>
      <color rgb="FF1155CC"/>
      <name val="Arial"/>
      <family val="2"/>
    </font>
    <font>
      <sz val="11"/>
      <color theme="1"/>
      <name val="Calibri"/>
      <family val="2"/>
    </font>
    <font>
      <sz val="12"/>
      <color rgb="FF434343"/>
      <name val="Arial"/>
      <family val="2"/>
    </font>
    <font>
      <b/>
      <sz val="10"/>
      <color theme="1"/>
      <name val="Arial"/>
      <family val="2"/>
    </font>
    <font>
      <sz val="11"/>
      <color rgb="FF000000"/>
      <name val="&quot;Aptos Narrow&quot;"/>
    </font>
    <font>
      <sz val="10"/>
      <color rgb="FF000000"/>
      <name val="Arial"/>
      <family val="2"/>
    </font>
    <font>
      <u/>
      <sz val="10"/>
      <color rgb="FF1155CC"/>
      <name val="Arial"/>
      <family val="2"/>
    </font>
    <font>
      <b/>
      <sz val="10"/>
      <color rgb="FF9900FF"/>
      <name val="Arial"/>
      <family val="2"/>
    </font>
    <font>
      <sz val="10"/>
      <color rgb="FF9900FF"/>
      <name val="Arial"/>
      <family val="2"/>
    </font>
    <font>
      <b/>
      <sz val="10"/>
      <color rgb="FF46BDC6"/>
      <name val="Arial"/>
      <family val="2"/>
      <scheme val="minor"/>
    </font>
    <font>
      <sz val="10"/>
      <color rgb="FF46BDC6"/>
      <name val="Arial"/>
      <family val="2"/>
    </font>
    <font>
      <b/>
      <sz val="10"/>
      <color rgb="FF34A853"/>
      <name val="Arial"/>
      <family val="2"/>
      <scheme val="minor"/>
    </font>
    <font>
      <sz val="10"/>
      <color rgb="FF34A853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sz val="12"/>
      <color theme="1"/>
      <name val="Arial"/>
      <family val="2"/>
    </font>
    <font>
      <sz val="10"/>
      <color rgb="FF222222"/>
      <name val="Arial"/>
      <family val="2"/>
    </font>
    <font>
      <b/>
      <sz val="10"/>
      <color rgb="FF34A853"/>
      <name val="Arial"/>
      <family val="2"/>
    </font>
    <font>
      <b/>
      <sz val="11"/>
      <color rgb="FF34A853"/>
      <name val="Calibri"/>
      <family val="2"/>
    </font>
    <font>
      <sz val="11"/>
      <color rgb="FF34A853"/>
      <name val="Calibri"/>
      <family val="2"/>
    </font>
    <font>
      <sz val="10"/>
      <color rgb="FF34A853"/>
      <name val="Arial"/>
      <family val="2"/>
      <scheme val="minor"/>
    </font>
    <font>
      <u/>
      <sz val="10"/>
      <color rgb="FF0000FF"/>
      <name val="Roboto"/>
    </font>
    <font>
      <b/>
      <sz val="10"/>
      <color rgb="FF4285F4"/>
      <name val="Arial"/>
      <family val="2"/>
    </font>
    <font>
      <sz val="10"/>
      <color rgb="FF4285F4"/>
      <name val="Arial"/>
      <family val="2"/>
    </font>
    <font>
      <sz val="10"/>
      <color rgb="FF46BDC6"/>
      <name val="Arial"/>
      <family val="2"/>
      <scheme val="minor"/>
    </font>
    <font>
      <u/>
      <sz val="10"/>
      <color rgb="FF1155CC"/>
      <name val="Arial"/>
      <family val="2"/>
    </font>
    <font>
      <sz val="12"/>
      <color rgb="FF000000"/>
      <name val="&quot;Aptos&quot;"/>
    </font>
    <font>
      <u/>
      <sz val="11"/>
      <color rgb="FF1155CC"/>
      <name val="Calibri, sans-serif"/>
    </font>
  </fonts>
  <fills count="12">
    <fill>
      <patternFill patternType="none"/>
    </fill>
    <fill>
      <patternFill patternType="gray125"/>
    </fill>
    <fill>
      <patternFill patternType="solid">
        <fgColor rgb="FFFFC8AA"/>
        <bgColor rgb="FFFFC8AA"/>
      </patternFill>
    </fill>
    <fill>
      <patternFill patternType="solid">
        <fgColor rgb="FFFFD0E4"/>
        <bgColor rgb="FFFFD0E4"/>
      </patternFill>
    </fill>
    <fill>
      <patternFill patternType="solid">
        <fgColor rgb="FFDCCCFF"/>
        <bgColor rgb="FFDCCCFF"/>
      </patternFill>
    </fill>
    <fill>
      <patternFill patternType="solid">
        <fgColor rgb="FFC0EDAD"/>
        <bgColor rgb="FFC0EDAD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top"/>
    </xf>
    <xf numFmtId="0" fontId="2" fillId="2" borderId="0" xfId="0" applyFont="1" applyFill="1"/>
    <xf numFmtId="14" fontId="2" fillId="2" borderId="0" xfId="0" applyNumberFormat="1" applyFont="1" applyFill="1"/>
    <xf numFmtId="164" fontId="4" fillId="0" borderId="0" xfId="0" applyNumberFormat="1" applyFont="1"/>
    <xf numFmtId="0" fontId="5" fillId="0" borderId="0" xfId="0" applyFont="1"/>
    <xf numFmtId="164" fontId="4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/>
    <xf numFmtId="14" fontId="2" fillId="3" borderId="0" xfId="0" applyNumberFormat="1" applyFont="1" applyFill="1"/>
    <xf numFmtId="0" fontId="6" fillId="0" borderId="1" xfId="0" applyFont="1" applyBorder="1" applyAlignment="1">
      <alignment horizontal="center" vertical="top"/>
    </xf>
    <xf numFmtId="0" fontId="2" fillId="3" borderId="0" xfId="0" applyFont="1" applyFill="1" applyAlignment="1">
      <alignment horizontal="center"/>
    </xf>
    <xf numFmtId="0" fontId="2" fillId="4" borderId="0" xfId="0" applyFont="1" applyFill="1"/>
    <xf numFmtId="14" fontId="2" fillId="4" borderId="0" xfId="0" applyNumberFormat="1" applyFont="1" applyFill="1"/>
    <xf numFmtId="0" fontId="3" fillId="0" borderId="0" xfId="0" applyFont="1"/>
    <xf numFmtId="0" fontId="2" fillId="4" borderId="0" xfId="0" applyFont="1" applyFill="1" applyAlignment="1">
      <alignment horizontal="center"/>
    </xf>
    <xf numFmtId="0" fontId="2" fillId="5" borderId="0" xfId="0" applyFont="1" applyFill="1"/>
    <xf numFmtId="14" fontId="2" fillId="5" borderId="0" xfId="0" applyNumberFormat="1" applyFont="1" applyFill="1"/>
    <xf numFmtId="0" fontId="2" fillId="5" borderId="0" xfId="0" applyFont="1" applyFill="1" applyAlignment="1">
      <alignment horizontal="center"/>
    </xf>
    <xf numFmtId="165" fontId="7" fillId="0" borderId="0" xfId="0" applyNumberFormat="1" applyFont="1" applyAlignment="1">
      <alignment horizontal="right"/>
    </xf>
    <xf numFmtId="0" fontId="7" fillId="0" borderId="0" xfId="0" applyFont="1"/>
    <xf numFmtId="0" fontId="7" fillId="2" borderId="0" xfId="0" applyFont="1" applyFill="1"/>
    <xf numFmtId="0" fontId="7" fillId="3" borderId="0" xfId="0" applyFont="1" applyFill="1"/>
    <xf numFmtId="0" fontId="7" fillId="4" borderId="0" xfId="0" applyFont="1" applyFill="1"/>
    <xf numFmtId="0" fontId="7" fillId="5" borderId="0" xfId="0" applyFont="1" applyFill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8" fillId="6" borderId="0" xfId="0" applyFont="1" applyFill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7" borderId="3" xfId="0" applyFont="1" applyFill="1" applyBorder="1"/>
    <xf numFmtId="0" fontId="7" fillId="7" borderId="3" xfId="0" applyFont="1" applyFill="1" applyBorder="1"/>
    <xf numFmtId="0" fontId="9" fillId="7" borderId="3" xfId="0" applyFont="1" applyFill="1" applyBorder="1"/>
    <xf numFmtId="0" fontId="8" fillId="8" borderId="4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0" fontId="10" fillId="7" borderId="3" xfId="0" applyFont="1" applyFill="1" applyBorder="1"/>
    <xf numFmtId="0" fontId="11" fillId="7" borderId="3" xfId="0" applyFont="1" applyFill="1" applyBorder="1"/>
    <xf numFmtId="0" fontId="7" fillId="8" borderId="4" xfId="0" applyFont="1" applyFill="1" applyBorder="1"/>
    <xf numFmtId="0" fontId="7" fillId="6" borderId="2" xfId="0" applyFont="1" applyFill="1" applyBorder="1"/>
    <xf numFmtId="0" fontId="12" fillId="6" borderId="2" xfId="0" applyFont="1" applyFill="1" applyBorder="1"/>
    <xf numFmtId="0" fontId="12" fillId="8" borderId="4" xfId="0" applyFont="1" applyFill="1" applyBorder="1"/>
    <xf numFmtId="0" fontId="13" fillId="7" borderId="3" xfId="0" applyFont="1" applyFill="1" applyBorder="1"/>
    <xf numFmtId="0" fontId="3" fillId="0" borderId="5" xfId="0" applyFont="1" applyBorder="1" applyAlignment="1">
      <alignment vertical="top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5" fillId="0" borderId="0" xfId="0" applyFont="1" applyAlignment="1">
      <alignment horizontal="right"/>
    </xf>
    <xf numFmtId="14" fontId="2" fillId="0" borderId="0" xfId="0" applyNumberFormat="1" applyFont="1" applyAlignment="1">
      <alignment vertical="center"/>
    </xf>
    <xf numFmtId="14" fontId="16" fillId="0" borderId="0" xfId="0" applyNumberFormat="1" applyFont="1"/>
    <xf numFmtId="165" fontId="2" fillId="0" borderId="0" xfId="0" applyNumberFormat="1" applyFont="1" applyAlignment="1">
      <alignment vertical="center"/>
    </xf>
    <xf numFmtId="0" fontId="16" fillId="0" borderId="0" xfId="0" applyFont="1"/>
    <xf numFmtId="0" fontId="2" fillId="0" borderId="0" xfId="0" applyFont="1" applyAlignment="1">
      <alignment vertical="center"/>
    </xf>
    <xf numFmtId="0" fontId="15" fillId="0" borderId="0" xfId="0" applyFont="1"/>
    <xf numFmtId="164" fontId="1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7" fillId="7" borderId="0" xfId="0" applyFont="1" applyFill="1" applyAlignment="1">
      <alignment horizontal="center"/>
    </xf>
    <xf numFmtId="0" fontId="7" fillId="7" borderId="0" xfId="0" applyFont="1" applyFill="1"/>
    <xf numFmtId="0" fontId="17" fillId="7" borderId="0" xfId="0" applyFont="1" applyFill="1"/>
    <xf numFmtId="0" fontId="3" fillId="0" borderId="0" xfId="0" applyFont="1" applyAlignment="1">
      <alignment horizontal="center"/>
    </xf>
    <xf numFmtId="0" fontId="18" fillId="9" borderId="0" xfId="0" applyFont="1" applyFill="1"/>
    <xf numFmtId="0" fontId="19" fillId="9" borderId="0" xfId="0" applyFont="1" applyFill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left" vertical="center"/>
    </xf>
    <xf numFmtId="0" fontId="20" fillId="9" borderId="0" xfId="0" applyFont="1" applyFill="1" applyAlignment="1">
      <alignment vertical="center"/>
    </xf>
    <xf numFmtId="0" fontId="21" fillId="9" borderId="0" xfId="0" applyFont="1" applyFill="1" applyAlignment="1">
      <alignment horizontal="center"/>
    </xf>
    <xf numFmtId="0" fontId="22" fillId="9" borderId="0" xfId="0" applyFont="1" applyFill="1" applyAlignment="1">
      <alignment vertical="center"/>
    </xf>
    <xf numFmtId="0" fontId="23" fillId="9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2" fillId="7" borderId="0" xfId="0" applyFont="1" applyFill="1" applyAlignment="1">
      <alignment vertical="center"/>
    </xf>
    <xf numFmtId="0" fontId="24" fillId="0" borderId="0" xfId="0" applyFont="1"/>
    <xf numFmtId="0" fontId="7" fillId="0" borderId="0" xfId="0" applyFont="1" applyAlignment="1">
      <alignment horizontal="center" wrapText="1"/>
    </xf>
    <xf numFmtId="0" fontId="25" fillId="0" borderId="0" xfId="0" applyFont="1" applyAlignment="1">
      <alignment horizontal="center"/>
    </xf>
    <xf numFmtId="0" fontId="18" fillId="10" borderId="0" xfId="0" applyFont="1" applyFill="1"/>
    <xf numFmtId="0" fontId="19" fillId="10" borderId="0" xfId="0" applyFont="1" applyFill="1" applyAlignment="1">
      <alignment horizontal="center"/>
    </xf>
    <xf numFmtId="0" fontId="26" fillId="7" borderId="0" xfId="0" applyFont="1" applyFill="1"/>
    <xf numFmtId="0" fontId="12" fillId="10" borderId="0" xfId="0" applyFont="1" applyFill="1" applyAlignment="1">
      <alignment horizontal="center" vertical="top"/>
    </xf>
    <xf numFmtId="0" fontId="27" fillId="0" borderId="0" xfId="0" applyFont="1"/>
    <xf numFmtId="0" fontId="12" fillId="10" borderId="0" xfId="0" applyFont="1" applyFill="1" applyAlignment="1">
      <alignment vertical="top"/>
    </xf>
    <xf numFmtId="0" fontId="12" fillId="9" borderId="0" xfId="0" applyFont="1" applyFill="1" applyAlignment="1">
      <alignment vertical="top"/>
    </xf>
    <xf numFmtId="0" fontId="12" fillId="9" borderId="0" xfId="0" applyFont="1" applyFill="1" applyAlignment="1">
      <alignment horizontal="center" vertical="top"/>
    </xf>
    <xf numFmtId="0" fontId="28" fillId="9" borderId="0" xfId="0" applyFont="1" applyFill="1"/>
    <xf numFmtId="0" fontId="3" fillId="0" borderId="6" xfId="0" applyFont="1" applyBorder="1" applyAlignment="1">
      <alignment vertical="top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vertical="center" wrapText="1"/>
    </xf>
    <xf numFmtId="0" fontId="7" fillId="8" borderId="0" xfId="0" applyFont="1" applyFill="1"/>
    <xf numFmtId="0" fontId="7" fillId="8" borderId="0" xfId="0" applyFont="1" applyFill="1" applyAlignment="1">
      <alignment vertical="center"/>
    </xf>
    <xf numFmtId="0" fontId="7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vertical="center"/>
    </xf>
    <xf numFmtId="0" fontId="7" fillId="0" borderId="0" xfId="0" applyFont="1" applyAlignment="1">
      <alignment wrapText="1"/>
    </xf>
    <xf numFmtId="0" fontId="29" fillId="9" borderId="0" xfId="0" applyFont="1" applyFill="1" applyAlignment="1">
      <alignment wrapText="1"/>
    </xf>
    <xf numFmtId="0" fontId="30" fillId="9" borderId="0" xfId="0" applyFont="1" applyFill="1" applyAlignment="1">
      <alignment horizontal="center" wrapText="1"/>
    </xf>
    <xf numFmtId="0" fontId="8" fillId="8" borderId="0" xfId="0" applyFont="1" applyFill="1"/>
    <xf numFmtId="0" fontId="18" fillId="10" borderId="0" xfId="0" applyFont="1" applyFill="1" applyAlignment="1">
      <alignment horizontal="center"/>
    </xf>
    <xf numFmtId="0" fontId="22" fillId="10" borderId="0" xfId="0" applyFont="1" applyFill="1" applyAlignment="1">
      <alignment vertical="center"/>
    </xf>
    <xf numFmtId="0" fontId="31" fillId="10" borderId="0" xfId="0" applyFont="1" applyFill="1" applyAlignment="1">
      <alignment horizontal="center" vertical="center"/>
    </xf>
    <xf numFmtId="0" fontId="28" fillId="10" borderId="0" xfId="0" applyFont="1" applyFill="1" applyAlignment="1">
      <alignment horizontal="center"/>
    </xf>
    <xf numFmtId="0" fontId="23" fillId="10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12" fillId="0" borderId="0" xfId="0" applyFont="1"/>
    <xf numFmtId="0" fontId="7" fillId="7" borderId="3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12" fillId="9" borderId="4" xfId="0" applyFont="1" applyFill="1" applyBorder="1" applyAlignment="1">
      <alignment horizontal="center" vertical="top"/>
    </xf>
    <xf numFmtId="0" fontId="12" fillId="9" borderId="2" xfId="0" applyFont="1" applyFill="1" applyBorder="1" applyAlignment="1">
      <alignment horizontal="center" vertical="top"/>
    </xf>
    <xf numFmtId="0" fontId="12" fillId="10" borderId="2" xfId="0" applyFont="1" applyFill="1" applyBorder="1" applyAlignment="1">
      <alignment horizontal="center" vertical="top"/>
    </xf>
    <xf numFmtId="0" fontId="12" fillId="10" borderId="4" xfId="0" applyFont="1" applyFill="1" applyBorder="1" applyAlignment="1">
      <alignment horizontal="center" vertical="top"/>
    </xf>
    <xf numFmtId="0" fontId="21" fillId="9" borderId="2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33" fillId="9" borderId="0" xfId="0" applyFont="1" applyFill="1"/>
    <xf numFmtId="0" fontId="34" fillId="9" borderId="0" xfId="0" applyFont="1" applyFill="1" applyAlignment="1">
      <alignment horizontal="center"/>
    </xf>
    <xf numFmtId="0" fontId="20" fillId="10" borderId="0" xfId="0" applyFont="1" applyFill="1" applyAlignment="1">
      <alignment vertical="center"/>
    </xf>
    <xf numFmtId="0" fontId="35" fillId="10" borderId="0" xfId="0" applyFont="1" applyFill="1" applyAlignment="1">
      <alignment horizontal="center" vertical="center"/>
    </xf>
    <xf numFmtId="0" fontId="7" fillId="6" borderId="0" xfId="0" applyFont="1" applyFill="1" applyAlignment="1">
      <alignment wrapText="1"/>
    </xf>
    <xf numFmtId="0" fontId="7" fillId="6" borderId="0" xfId="0" applyFont="1" applyFill="1" applyAlignment="1">
      <alignment horizontal="center"/>
    </xf>
    <xf numFmtId="0" fontId="7" fillId="6" borderId="0" xfId="0" applyFont="1" applyFill="1"/>
    <xf numFmtId="0" fontId="8" fillId="7" borderId="0" xfId="0" applyFont="1" applyFill="1"/>
    <xf numFmtId="0" fontId="2" fillId="11" borderId="0" xfId="0" applyFont="1" applyFill="1" applyAlignment="1">
      <alignment horizontal="center" vertical="center"/>
    </xf>
    <xf numFmtId="0" fontId="36" fillId="7" borderId="0" xfId="0" applyFont="1" applyFill="1"/>
    <xf numFmtId="0" fontId="4" fillId="0" borderId="0" xfId="0" applyFont="1"/>
    <xf numFmtId="0" fontId="4" fillId="0" borderId="0" xfId="0" applyFont="1" applyAlignment="1">
      <alignment horizontal="center"/>
    </xf>
    <xf numFmtId="0" fontId="37" fillId="0" borderId="0" xfId="0" applyFont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FFC4F1"/>
          <bgColor rgb="FFFFC4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8">
    <tableStyle name="experiments-style" pivot="0" count="2" xr9:uid="{00000000-0011-0000-FFFF-FFFF00000000}">
      <tableStyleElement type="firstRowStripe" dxfId="20"/>
      <tableStyleElement type="secondRowStripe" dxfId="19"/>
    </tableStyle>
    <tableStyle name="experiments-style 2" pivot="0" count="2" xr9:uid="{00000000-0011-0000-FFFF-FFFF01000000}">
      <tableStyleElement type="firstRowStripe" dxfId="18"/>
      <tableStyleElement type="secondRowStripe" dxfId="17"/>
    </tableStyle>
    <tableStyle name="Masterlist-style" pivot="0" count="4" xr9:uid="{00000000-0011-0000-FFFF-FFFF02000000}">
      <tableStyleElement type="wholeTable" size="0" dxfId="16"/>
      <tableStyleElement type="headerRow" dxfId="15"/>
      <tableStyleElement type="firstRowStripe" dxfId="14"/>
      <tableStyleElement type="secondRowStripe" dxfId="13"/>
    </tableStyle>
    <tableStyle name="Masterlist-style 2" pivot="0" count="4" xr9:uid="{00000000-0011-0000-FFFF-FFFF03000000}">
      <tableStyleElement type="wholeTable" size="0" dxfId="12"/>
      <tableStyleElement type="headerRow" dxfId="11"/>
      <tableStyleElement type="firstRowStripe" dxfId="10"/>
      <tableStyleElement type="secondRowStripe" dxfId="9"/>
    </tableStyle>
    <tableStyle name="Masterlist-style 3" pivot="0" count="2" xr9:uid="{00000000-0011-0000-FFFF-FFFF04000000}">
      <tableStyleElement type="firstRowStripe" dxfId="8"/>
      <tableStyleElement type="secondRowStripe" dxfId="7"/>
    </tableStyle>
    <tableStyle name="Masterlist-style 4" pivot="0" count="2" xr9:uid="{00000000-0011-0000-FFFF-FFFF05000000}">
      <tableStyleElement type="firstRowStripe" dxfId="6"/>
      <tableStyleElement type="secondRowStripe" dxfId="5"/>
    </tableStyle>
    <tableStyle name="Masterlist-style 5" pivot="0" count="2" xr9:uid="{00000000-0011-0000-FFFF-FFFF06000000}">
      <tableStyleElement type="firstRowStripe" dxfId="4"/>
      <tableStyleElement type="secondRowStripe" dxfId="3"/>
    </tableStyle>
    <tableStyle name="Masterlist-style 6" pivot="0" count="2" xr9:uid="{00000000-0011-0000-FFFF-FFFF07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pic>
      <xdr:nvPicPr>
        <xdr:cNvPr id="1787831005" name="Visualization1" title="Visualization">
          <a:extLst>
            <a:ext uri="{FF2B5EF4-FFF2-40B4-BE49-F238E27FC236}">
              <a16:creationId xmlns:a16="http://schemas.microsoft.com/office/drawing/2014/main" id="{00000000-0008-0000-0000-0000DD22906A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Visualization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80:R111" headerRowCount="0">
  <tableColumns count="1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</tableColumns>
  <tableStyleInfo name="experimen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100:C131" headerRowCount="0">
  <tableColumns count="1">
    <tableColumn id="1" xr3:uid="{00000000-0010-0000-0100-000001000000}" name="Column1"/>
  </tableColumns>
  <tableStyleInfo name="experiment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A1:AG197">
  <tableColumns count="33">
    <tableColumn id="1" xr3:uid="{00000000-0010-0000-0200-000001000000}" name="Screening Group"/>
    <tableColumn id="2" xr3:uid="{00000000-0010-0000-0200-000002000000}" name="Actual cross set date"/>
    <tableColumn id="3" xr3:uid="{00000000-0010-0000-0200-000003000000}" name="Finished (=27+B)"/>
    <tableColumn id="4" xr3:uid="{00000000-0010-0000-0200-000004000000}" name="Projected Start Date"/>
    <tableColumn id="5" xr3:uid="{00000000-0010-0000-0200-000005000000}" name="Projected End Date"/>
    <tableColumn id="6" xr3:uid="{00000000-0010-0000-0200-000006000000}" name="Notes/Function"/>
    <tableColumn id="7" xr3:uid="{00000000-0010-0000-0200-000007000000}" name="allele shorthand"/>
    <tableColumn id="8" xr3:uid="{00000000-0010-0000-0200-000008000000}" name="Gene"/>
    <tableColumn id="9" xr3:uid="{00000000-0010-0000-0200-000009000000}" name="Stock Source"/>
    <tableColumn id="10" xr3:uid="{00000000-0010-0000-0200-00000A000000}" name="ID #"/>
    <tableColumn id="11" xr3:uid="{00000000-0010-0000-0200-00000B000000}" name="RNAi Shorthand"/>
    <tableColumn id="12" xr3:uid="{00000000-0010-0000-0200-00000C000000}" name="Full Stock Genotype"/>
    <tableColumn id="13" xr3:uid="{00000000-0010-0000-0200-00000D000000}" name="balancers in stock?"/>
    <tableColumn id="14" xr3:uid="{00000000-0010-0000-0200-00000E000000}" name="ordered? (date)"/>
    <tableColumn id="15" xr3:uid="{00000000-0010-0000-0200-00000F000000}" name="location of stock"/>
    <tableColumn id="16" xr3:uid="{00000000-0010-0000-0200-000010000000}" name="Published Gal4/ Positive control"/>
    <tableColumn id="17" xr3:uid="{00000000-0010-0000-0200-000011000000}" name="Published Gal4 source"/>
    <tableColumn id="18" xr3:uid="{00000000-0010-0000-0200-000012000000}" name="Published phenotype"/>
    <tableColumn id="19" xr3:uid="{00000000-0010-0000-0200-000013000000}" name="Reference (PMID)"/>
    <tableColumn id="20" xr3:uid="{00000000-0010-0000-0200-000014000000}" name="PMCID"/>
    <tableColumn id="21" xr3:uid="{00000000-0010-0000-0200-000015000000}" name="Reference Title"/>
    <tableColumn id="22" xr3:uid="{00000000-0010-0000-0200-000016000000}" name="Authors"/>
    <tableColumn id="23" xr3:uid="{00000000-0010-0000-0200-000017000000}" name="Journal"/>
    <tableColumn id="24" xr3:uid="{00000000-0010-0000-0200-000018000000}" name="Year Of Publicaton"/>
    <tableColumn id="25" xr3:uid="{00000000-0010-0000-0200-000019000000}" name="Circadian/Sleep Relevance (embedding max score)"/>
    <tableColumn id="26" xr3:uid="{00000000-0010-0000-0200-00001A000000}" name="Experimental Driver"/>
    <tableColumn id="27" xr3:uid="{00000000-0010-0000-0200-00001B000000}" name="Gal4 control"/>
    <tableColumn id="28" xr3:uid="{00000000-0010-0000-0200-00001C000000}" name="RNAi control"/>
    <tableColumn id="29" xr3:uid="{00000000-0010-0000-0200-00001D000000}" name="Gene Set/ Filename"/>
    <tableColumn id="30" xr3:uid="{00000000-0010-0000-0200-00001E000000}" name="Sleep promoting?"/>
    <tableColumn id="31" xr3:uid="{00000000-0010-0000-0200-00001F000000}" name="Wake promoting?"/>
    <tableColumn id="32" xr3:uid="{00000000-0010-0000-0200-000020000000}" name="link to graph     "/>
    <tableColumn id="33" xr3:uid="{00000000-0010-0000-0200-000021000000}" name="   link to data"/>
  </tableColumns>
  <tableStyleInfo name="Masterlis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" displayName="Table2" ref="AM2:AN198">
  <tableColumns count="2">
    <tableColumn id="1" xr3:uid="{00000000-0010-0000-0300-000001000000}" name="ID #"/>
    <tableColumn id="2" xr3:uid="{00000000-0010-0000-0300-000002000000}" name="Column 1"/>
  </tableColumns>
  <tableStyleInfo name="Masterlist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I198:AG199" headerRowCount="0">
  <tableColumns count="25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  <tableColumn id="19" xr3:uid="{00000000-0010-0000-0400-000013000000}" name="Column19"/>
    <tableColumn id="20" xr3:uid="{00000000-0010-0000-0400-000014000000}" name="Column20"/>
    <tableColumn id="21" xr3:uid="{00000000-0010-0000-0400-000015000000}" name="Column21"/>
    <tableColumn id="22" xr3:uid="{00000000-0010-0000-0400-000016000000}" name="Column22"/>
    <tableColumn id="23" xr3:uid="{00000000-0010-0000-0400-000017000000}" name="Column23"/>
    <tableColumn id="24" xr3:uid="{00000000-0010-0000-0400-000018000000}" name="Column24"/>
    <tableColumn id="25" xr3:uid="{00000000-0010-0000-0400-000019000000}" name="Column25"/>
  </tableColumns>
  <tableStyleInfo name="Masterlist-style 3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AM199:AM200" headerRowCount="0">
  <tableColumns count="1">
    <tableColumn id="1" xr3:uid="{00000000-0010-0000-0500-000001000000}" name="Column1"/>
  </tableColumns>
  <tableStyleInfo name="Masterlist-style 4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I202:AG203" headerRowCount="0">
  <tableColumns count="25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  <tableColumn id="17" xr3:uid="{00000000-0010-0000-0600-000011000000}" name="Column17"/>
    <tableColumn id="18" xr3:uid="{00000000-0010-0000-0600-000012000000}" name="Column18"/>
    <tableColumn id="19" xr3:uid="{00000000-0010-0000-0600-000013000000}" name="Column19"/>
    <tableColumn id="20" xr3:uid="{00000000-0010-0000-0600-000014000000}" name="Column20"/>
    <tableColumn id="21" xr3:uid="{00000000-0010-0000-0600-000015000000}" name="Column21"/>
    <tableColumn id="22" xr3:uid="{00000000-0010-0000-0600-000016000000}" name="Column22"/>
    <tableColumn id="23" xr3:uid="{00000000-0010-0000-0600-000017000000}" name="Column23"/>
    <tableColumn id="24" xr3:uid="{00000000-0010-0000-0600-000018000000}" name="Column24"/>
    <tableColumn id="25" xr3:uid="{00000000-0010-0000-0600-000019000000}" name="Column25"/>
  </tableColumns>
  <tableStyleInfo name="Masterlist-style 5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AM203:AM204" headerRowCount="0">
  <tableColumns count="1">
    <tableColumn id="1" xr3:uid="{00000000-0010-0000-0700-000001000000}" name="Column1"/>
  </tableColumns>
  <tableStyleInfo name="Masterlist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mc.ncbi.nlm.nih.gov/articles/PMC8733872/" TargetMode="External"/><Relationship Id="rId13" Type="http://schemas.openxmlformats.org/officeDocument/2006/relationships/hyperlink" Target="https://doi.org/10.1242/dev.202795" TargetMode="External"/><Relationship Id="rId18" Type="http://schemas.openxmlformats.org/officeDocument/2006/relationships/hyperlink" Target="https://pmc.ncbi.nlm.nih.gov/articles/PMC7064613/?utm_source=chatgpt.com" TargetMode="External"/><Relationship Id="rId26" Type="http://schemas.openxmlformats.org/officeDocument/2006/relationships/hyperlink" Target="https://academic.oup.com/g3journal/article/9/7/2061/6026824" TargetMode="External"/><Relationship Id="rId3" Type="http://schemas.openxmlformats.org/officeDocument/2006/relationships/hyperlink" Target="https://www.nature.com/articles/s41586-025-09261-y" TargetMode="External"/><Relationship Id="rId21" Type="http://schemas.openxmlformats.org/officeDocument/2006/relationships/hyperlink" Target="https://academic.oup.com/g3journal/article/9/7/2061/6026824" TargetMode="External"/><Relationship Id="rId7" Type="http://schemas.openxmlformats.org/officeDocument/2006/relationships/hyperlink" Target="https://pmc.ncbi.nlm.nih.gov/articles/PMC8733872/" TargetMode="External"/><Relationship Id="rId12" Type="http://schemas.openxmlformats.org/officeDocument/2006/relationships/hyperlink" Target="https://www.nature.com/articles/s41467-023-44343-3" TargetMode="External"/><Relationship Id="rId17" Type="http://schemas.openxmlformats.org/officeDocument/2006/relationships/hyperlink" Target="https://elifesciences.org/articles/14048" TargetMode="External"/><Relationship Id="rId25" Type="http://schemas.openxmlformats.org/officeDocument/2006/relationships/hyperlink" Target="https://academic.oup.com/g3journal/article/9/7/2061/6026824" TargetMode="External"/><Relationship Id="rId2" Type="http://schemas.openxmlformats.org/officeDocument/2006/relationships/hyperlink" Target="https://www.nature.com/articles/s41586-025-09261-y" TargetMode="External"/><Relationship Id="rId16" Type="http://schemas.openxmlformats.org/officeDocument/2006/relationships/hyperlink" Target="https://elifesciences.org/articles/14048" TargetMode="External"/><Relationship Id="rId20" Type="http://schemas.openxmlformats.org/officeDocument/2006/relationships/hyperlink" Target="https://academic.oup.com/g3journal/article/9/7/2061/6026824" TargetMode="External"/><Relationship Id="rId29" Type="http://schemas.openxmlformats.org/officeDocument/2006/relationships/table" Target="../tables/table2.xml"/><Relationship Id="rId1" Type="http://schemas.openxmlformats.org/officeDocument/2006/relationships/hyperlink" Target="https://pmc.ncbi.nlm.nih.gov/articles/PMC7160125/" TargetMode="External"/><Relationship Id="rId6" Type="http://schemas.openxmlformats.org/officeDocument/2006/relationships/hyperlink" Target="https://www.nature.com/articles/s41586-025-09261-y" TargetMode="External"/><Relationship Id="rId11" Type="http://schemas.openxmlformats.org/officeDocument/2006/relationships/hyperlink" Target="https://pmc.ncbi.nlm.nih.gov/articles/PMC8733872/" TargetMode="External"/><Relationship Id="rId24" Type="http://schemas.openxmlformats.org/officeDocument/2006/relationships/hyperlink" Target="https://academic.oup.com/genetics/article/203/4/1777/6065859" TargetMode="External"/><Relationship Id="rId5" Type="http://schemas.openxmlformats.org/officeDocument/2006/relationships/hyperlink" Target="https://www.nature.com/articles/s41586-025-09261-y" TargetMode="External"/><Relationship Id="rId15" Type="http://schemas.openxmlformats.org/officeDocument/2006/relationships/hyperlink" Target="https://pmc.ncbi.nlm.nih.gov/articles/PMC9635655/?utm_source=chatgpt.com" TargetMode="External"/><Relationship Id="rId23" Type="http://schemas.openxmlformats.org/officeDocument/2006/relationships/hyperlink" Target="https://academic.oup.com/g3journal/article/9/7/2061/6026824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https://pmc.ncbi.nlm.nih.gov/articles/PMC8733872/" TargetMode="External"/><Relationship Id="rId19" Type="http://schemas.openxmlformats.org/officeDocument/2006/relationships/hyperlink" Target="https://academic.oup.com/g3journal/article/9/7/2061/6026824" TargetMode="External"/><Relationship Id="rId4" Type="http://schemas.openxmlformats.org/officeDocument/2006/relationships/hyperlink" Target="https://www.nature.com/articles/s41586-025-09261-y" TargetMode="External"/><Relationship Id="rId9" Type="http://schemas.openxmlformats.org/officeDocument/2006/relationships/hyperlink" Target="https://pmc.ncbi.nlm.nih.gov/articles/PMC11739927/" TargetMode="External"/><Relationship Id="rId14" Type="http://schemas.openxmlformats.org/officeDocument/2006/relationships/hyperlink" Target="https://pmc.ncbi.nlm.nih.gov/articles/PMC9635655/?utm_source=chatgpt.com" TargetMode="External"/><Relationship Id="rId22" Type="http://schemas.openxmlformats.org/officeDocument/2006/relationships/hyperlink" Target="https://academic.oup.com/g3journal/article/9/7/2061/6026824" TargetMode="External"/><Relationship Id="rId27" Type="http://schemas.openxmlformats.org/officeDocument/2006/relationships/hyperlink" Target="https://academic.oup.com/g3journal/article/9/7/2061/6026824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hyperlink" Target="https://shop.vbc.ac.at/vdrc_store/109849.html" TargetMode="External"/><Relationship Id="rId1" Type="http://schemas.openxmlformats.org/officeDocument/2006/relationships/hyperlink" Target="https://shop.vbc.ac.at/vdrc_store/109849.html" TargetMode="Externa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/>
  </sheetViews>
  <sheetFormatPr baseColWidth="10" defaultRowHeight="13"/>
  <sheetData/>
  <sheetProtection sheet="1" objects="1" selectLockedCells="1" selectUn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16"/>
  <sheetViews>
    <sheetView topLeftCell="F1" workbookViewId="0"/>
  </sheetViews>
  <sheetFormatPr baseColWidth="10" defaultColWidth="12.6640625" defaultRowHeight="15.75" customHeight="1"/>
  <cols>
    <col min="1" max="2" width="30.1640625" customWidth="1"/>
    <col min="3" max="3" width="27.6640625" customWidth="1"/>
    <col min="6" max="6" width="30.6640625" customWidth="1"/>
  </cols>
  <sheetData>
    <row r="1" spans="1:27" ht="15.75" customHeight="1">
      <c r="A1" s="1"/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U1" s="3" t="s">
        <v>5</v>
      </c>
      <c r="Y1" s="4" t="s">
        <v>6</v>
      </c>
      <c r="Z1" s="4">
        <v>11008</v>
      </c>
      <c r="AA1" s="4"/>
    </row>
    <row r="2" spans="1:27" ht="15.75" customHeight="1">
      <c r="A2" s="5"/>
      <c r="B2" s="5"/>
      <c r="C2" s="6"/>
      <c r="D2" s="6"/>
      <c r="E2" s="6"/>
      <c r="F2" s="5"/>
      <c r="G2" s="7"/>
      <c r="H2" s="7"/>
      <c r="I2" s="8"/>
      <c r="J2" s="5"/>
      <c r="K2" s="5"/>
      <c r="L2" s="9"/>
      <c r="M2" s="9"/>
      <c r="N2" s="10"/>
      <c r="U2" s="3" t="s">
        <v>7</v>
      </c>
      <c r="Y2" s="4" t="s">
        <v>6</v>
      </c>
      <c r="Z2" s="4">
        <v>12513</v>
      </c>
      <c r="AA2" s="4"/>
    </row>
    <row r="3" spans="1:27" ht="15.75" customHeight="1">
      <c r="A3" s="11"/>
      <c r="B3" s="11"/>
      <c r="C3" s="12"/>
      <c r="D3" s="12"/>
      <c r="E3" s="12"/>
      <c r="F3" s="11"/>
      <c r="G3" s="3"/>
      <c r="H3" s="13"/>
      <c r="I3" s="13"/>
      <c r="J3" s="13"/>
      <c r="K3" s="13"/>
      <c r="L3" s="13"/>
      <c r="M3" s="13"/>
      <c r="N3" s="14"/>
      <c r="U3" s="3">
        <v>20718</v>
      </c>
      <c r="V3" s="3" t="s">
        <v>8</v>
      </c>
      <c r="Y3" s="4" t="s">
        <v>6</v>
      </c>
      <c r="Z3" s="4">
        <v>12513</v>
      </c>
      <c r="AA3" s="4"/>
    </row>
    <row r="4" spans="1:27" ht="15">
      <c r="A4" s="15"/>
      <c r="B4" s="15"/>
      <c r="C4" s="16"/>
      <c r="D4" s="16"/>
      <c r="E4" s="16"/>
      <c r="F4" s="15"/>
      <c r="G4" s="3"/>
      <c r="H4" s="17"/>
      <c r="I4" s="17"/>
      <c r="J4" s="17"/>
      <c r="K4" s="17"/>
      <c r="L4" s="17"/>
      <c r="M4" s="17"/>
      <c r="N4" s="18"/>
      <c r="U4" s="3">
        <v>9257</v>
      </c>
      <c r="V4" s="3" t="s">
        <v>8</v>
      </c>
      <c r="Y4" s="4" t="s">
        <v>6</v>
      </c>
      <c r="Z4" s="4">
        <v>12513</v>
      </c>
      <c r="AA4" s="4"/>
    </row>
    <row r="5" spans="1:27" ht="15">
      <c r="A5" s="19"/>
      <c r="B5" s="19"/>
      <c r="C5" s="20"/>
      <c r="D5" s="20"/>
      <c r="E5" s="20"/>
      <c r="F5" s="19"/>
      <c r="G5" s="3"/>
      <c r="H5" s="17"/>
      <c r="I5" s="17"/>
      <c r="J5" s="17"/>
      <c r="K5" s="17"/>
      <c r="L5" s="17"/>
      <c r="M5" s="17"/>
      <c r="N5" s="21"/>
      <c r="U5" s="3">
        <v>9258</v>
      </c>
      <c r="V5" s="3" t="s">
        <v>8</v>
      </c>
      <c r="Y5" s="4" t="s">
        <v>6</v>
      </c>
      <c r="Z5" s="4">
        <v>12513</v>
      </c>
      <c r="AA5" s="4"/>
    </row>
    <row r="6" spans="1:27" ht="15">
      <c r="A6" s="5"/>
      <c r="B6" s="5"/>
      <c r="C6" s="6"/>
      <c r="D6" s="6"/>
      <c r="E6" s="6"/>
      <c r="F6" s="5"/>
      <c r="G6" s="3"/>
      <c r="H6" s="17"/>
      <c r="I6" s="17"/>
      <c r="J6" s="17"/>
      <c r="K6" s="17"/>
      <c r="L6" s="17"/>
      <c r="M6" s="17"/>
      <c r="N6" s="10"/>
      <c r="U6" s="3">
        <v>42651</v>
      </c>
      <c r="V6" s="3" t="s">
        <v>8</v>
      </c>
      <c r="Y6" s="4" t="s">
        <v>6</v>
      </c>
      <c r="Z6" s="4">
        <v>12513</v>
      </c>
      <c r="AA6" s="4"/>
    </row>
    <row r="7" spans="1:27" ht="15">
      <c r="A7" s="11"/>
      <c r="B7" s="11"/>
      <c r="C7" s="12"/>
      <c r="D7" s="12"/>
      <c r="E7" s="12"/>
      <c r="F7" s="11"/>
      <c r="G7" s="3"/>
      <c r="H7" s="17"/>
      <c r="I7" s="17"/>
      <c r="J7" s="17"/>
      <c r="K7" s="17"/>
      <c r="L7" s="17"/>
      <c r="M7" s="17"/>
      <c r="N7" s="14"/>
      <c r="U7" s="3">
        <v>63083</v>
      </c>
      <c r="V7" s="3" t="s">
        <v>8</v>
      </c>
      <c r="Y7" s="4" t="s">
        <v>6</v>
      </c>
      <c r="Z7" s="4">
        <v>12513</v>
      </c>
      <c r="AA7" s="4"/>
    </row>
    <row r="8" spans="1:27" ht="15">
      <c r="A8" s="15"/>
      <c r="B8" s="15"/>
      <c r="C8" s="16"/>
      <c r="D8" s="16"/>
      <c r="E8" s="16"/>
      <c r="F8" s="15"/>
      <c r="G8" s="3"/>
      <c r="H8" s="17"/>
      <c r="I8" s="17"/>
      <c r="J8" s="17"/>
      <c r="K8" s="17"/>
      <c r="L8" s="17"/>
      <c r="M8" s="17"/>
      <c r="N8" s="18"/>
      <c r="U8" s="3">
        <v>63084</v>
      </c>
      <c r="V8" s="3" t="s">
        <v>8</v>
      </c>
      <c r="Y8" s="4" t="s">
        <v>6</v>
      </c>
      <c r="Z8" s="4">
        <v>12513</v>
      </c>
      <c r="AA8" s="4"/>
    </row>
    <row r="9" spans="1:27" ht="15">
      <c r="A9" s="19"/>
      <c r="B9" s="19"/>
      <c r="C9" s="20"/>
      <c r="D9" s="20"/>
      <c r="E9" s="20"/>
      <c r="F9" s="19"/>
      <c r="G9" s="3"/>
      <c r="H9" s="17"/>
      <c r="I9" s="17"/>
      <c r="J9" s="17"/>
      <c r="K9" s="17"/>
      <c r="L9" s="17"/>
      <c r="M9" s="17"/>
      <c r="N9" s="21"/>
      <c r="U9" s="3">
        <v>63085</v>
      </c>
      <c r="V9" s="3" t="s">
        <v>8</v>
      </c>
      <c r="Y9" s="4" t="s">
        <v>6</v>
      </c>
      <c r="Z9" s="4">
        <v>12513</v>
      </c>
      <c r="AA9" s="4"/>
    </row>
    <row r="10" spans="1:27" ht="15">
      <c r="A10" s="5"/>
      <c r="B10" s="5"/>
      <c r="C10" s="6"/>
      <c r="D10" s="6"/>
      <c r="E10" s="6"/>
      <c r="F10" s="5"/>
      <c r="G10" s="3"/>
      <c r="H10" s="17"/>
      <c r="I10" s="17"/>
      <c r="J10" s="17"/>
      <c r="K10" s="17"/>
      <c r="L10" s="17"/>
      <c r="M10" s="17"/>
      <c r="N10" s="10"/>
      <c r="U10" s="3">
        <v>63086</v>
      </c>
      <c r="V10" s="3" t="s">
        <v>8</v>
      </c>
      <c r="Y10" s="4" t="s">
        <v>6</v>
      </c>
      <c r="Z10" s="4">
        <v>12513</v>
      </c>
      <c r="AA10" s="4"/>
    </row>
    <row r="11" spans="1:27" ht="15">
      <c r="A11" s="11"/>
      <c r="B11" s="11"/>
      <c r="C11" s="12"/>
      <c r="D11" s="12"/>
      <c r="E11" s="12"/>
      <c r="F11" s="11"/>
      <c r="G11" s="3"/>
      <c r="H11" s="17"/>
      <c r="I11" s="17"/>
      <c r="J11" s="17"/>
      <c r="K11" s="17"/>
      <c r="L11" s="17"/>
      <c r="M11" s="17"/>
      <c r="N11" s="14"/>
      <c r="U11" s="3">
        <v>63087</v>
      </c>
      <c r="V11" s="3" t="s">
        <v>8</v>
      </c>
      <c r="Y11" s="4" t="s">
        <v>6</v>
      </c>
      <c r="Z11" s="4">
        <v>12513</v>
      </c>
      <c r="AA11" s="4"/>
    </row>
    <row r="12" spans="1:27" ht="15">
      <c r="A12" s="15"/>
      <c r="B12" s="15"/>
      <c r="C12" s="16"/>
      <c r="D12" s="16"/>
      <c r="E12" s="16"/>
      <c r="F12" s="15"/>
      <c r="G12" s="3"/>
      <c r="H12" s="17"/>
      <c r="I12" s="17"/>
      <c r="J12" s="17"/>
      <c r="K12" s="17"/>
      <c r="L12" s="17"/>
      <c r="M12" s="17"/>
      <c r="N12" s="18"/>
      <c r="U12" s="3">
        <v>63088</v>
      </c>
      <c r="V12" s="3" t="s">
        <v>8</v>
      </c>
      <c r="Y12" s="4" t="s">
        <v>6</v>
      </c>
      <c r="Z12" s="4">
        <v>12513</v>
      </c>
      <c r="AA12" s="4"/>
    </row>
    <row r="13" spans="1:27" ht="15">
      <c r="A13" s="19"/>
      <c r="B13" s="19"/>
      <c r="C13" s="20"/>
      <c r="D13" s="20"/>
      <c r="E13" s="20"/>
      <c r="F13" s="19"/>
      <c r="G13" s="3"/>
      <c r="H13" s="17"/>
      <c r="I13" s="17"/>
      <c r="J13" s="17"/>
      <c r="K13" s="17"/>
      <c r="L13" s="17"/>
      <c r="M13" s="17"/>
      <c r="U13" s="3">
        <v>63089</v>
      </c>
      <c r="V13" s="3" t="s">
        <v>8</v>
      </c>
      <c r="Y13" s="4" t="s">
        <v>6</v>
      </c>
      <c r="Z13" s="4">
        <v>12513</v>
      </c>
      <c r="AA13" s="4"/>
    </row>
    <row r="14" spans="1:27" ht="15">
      <c r="A14" s="5"/>
      <c r="B14" s="5"/>
      <c r="C14" s="6"/>
      <c r="D14" s="6"/>
      <c r="E14" s="6"/>
      <c r="F14" s="5"/>
      <c r="G14" s="3"/>
      <c r="H14" s="17"/>
      <c r="I14" s="17"/>
      <c r="J14" s="17"/>
      <c r="K14" s="17"/>
      <c r="L14" s="17"/>
      <c r="M14" s="17"/>
      <c r="U14" s="3">
        <v>63090</v>
      </c>
      <c r="V14" s="3" t="s">
        <v>8</v>
      </c>
      <c r="Y14" s="4" t="s">
        <v>6</v>
      </c>
      <c r="Z14" s="4">
        <v>12513</v>
      </c>
      <c r="AA14" s="4"/>
    </row>
    <row r="15" spans="1:27" ht="15">
      <c r="A15" s="11"/>
      <c r="B15" s="11"/>
      <c r="C15" s="12"/>
      <c r="D15" s="12"/>
      <c r="E15" s="12"/>
      <c r="F15" s="11"/>
      <c r="G15" s="3"/>
      <c r="H15" s="17"/>
      <c r="I15" s="17"/>
      <c r="J15" s="17"/>
      <c r="K15" s="17"/>
      <c r="L15" s="17"/>
      <c r="M15" s="17"/>
      <c r="U15" s="3">
        <v>63091</v>
      </c>
      <c r="V15" s="3" t="s">
        <v>8</v>
      </c>
      <c r="Y15" s="4" t="s">
        <v>6</v>
      </c>
      <c r="Z15" s="4">
        <v>12513</v>
      </c>
      <c r="AA15" s="4"/>
    </row>
    <row r="16" spans="1:27" ht="15">
      <c r="A16" s="15"/>
      <c r="B16" s="15"/>
      <c r="C16" s="16"/>
      <c r="D16" s="16"/>
      <c r="E16" s="16"/>
      <c r="F16" s="15"/>
      <c r="G16" s="3"/>
      <c r="H16" s="17"/>
      <c r="I16" s="17"/>
      <c r="J16" s="17"/>
      <c r="K16" s="17"/>
      <c r="L16" s="17"/>
      <c r="M16" s="17"/>
      <c r="U16" s="3">
        <v>63092</v>
      </c>
      <c r="V16" s="3" t="s">
        <v>8</v>
      </c>
      <c r="Y16" s="4" t="s">
        <v>6</v>
      </c>
      <c r="Z16" s="4">
        <v>13760</v>
      </c>
      <c r="AA16" s="4"/>
    </row>
    <row r="17" spans="1:27" ht="15">
      <c r="A17" s="19"/>
      <c r="B17" s="19"/>
      <c r="C17" s="20"/>
      <c r="D17" s="20"/>
      <c r="E17" s="20"/>
      <c r="F17" s="19"/>
      <c r="G17" s="3"/>
      <c r="H17" s="17"/>
      <c r="I17" s="17"/>
      <c r="J17" s="17"/>
      <c r="K17" s="17"/>
      <c r="L17" s="17"/>
      <c r="M17" s="17"/>
      <c r="U17" s="3">
        <v>63093</v>
      </c>
      <c r="V17" s="3" t="s">
        <v>8</v>
      </c>
      <c r="Y17" s="4" t="s">
        <v>6</v>
      </c>
      <c r="Z17" s="4">
        <v>13760</v>
      </c>
      <c r="AA17" s="4"/>
    </row>
    <row r="18" spans="1:27" ht="15">
      <c r="A18" s="5"/>
      <c r="B18" s="5"/>
      <c r="C18" s="6"/>
      <c r="D18" s="6"/>
      <c r="E18" s="6"/>
      <c r="F18" s="5"/>
      <c r="H18" s="17"/>
      <c r="I18" s="17"/>
      <c r="J18" s="17"/>
      <c r="K18" s="17"/>
      <c r="L18" s="17"/>
      <c r="M18" s="17"/>
      <c r="U18" s="3">
        <v>63094</v>
      </c>
      <c r="V18" s="3" t="s">
        <v>8</v>
      </c>
      <c r="Y18" s="4" t="s">
        <v>6</v>
      </c>
      <c r="Z18" s="4">
        <v>15886</v>
      </c>
      <c r="AA18" s="4"/>
    </row>
    <row r="19" spans="1:27" ht="15">
      <c r="A19" s="11"/>
      <c r="B19" s="11"/>
      <c r="C19" s="12"/>
      <c r="D19" s="12"/>
      <c r="E19" s="12"/>
      <c r="F19" s="11"/>
      <c r="G19" s="22"/>
      <c r="H19" s="17"/>
      <c r="I19" s="17"/>
      <c r="J19" s="17"/>
      <c r="K19" s="17"/>
      <c r="L19" s="17"/>
      <c r="M19" s="17"/>
      <c r="U19" s="3">
        <v>63095</v>
      </c>
      <c r="V19" s="3" t="s">
        <v>8</v>
      </c>
      <c r="Y19" s="4" t="s">
        <v>6</v>
      </c>
      <c r="Z19" s="4">
        <v>16085</v>
      </c>
      <c r="AA19" s="4"/>
    </row>
    <row r="20" spans="1:27" ht="15">
      <c r="A20" s="15"/>
      <c r="B20" s="15"/>
      <c r="C20" s="16"/>
      <c r="D20" s="16"/>
      <c r="E20" s="16"/>
      <c r="F20" s="15"/>
      <c r="G20" s="22"/>
      <c r="H20" s="17"/>
      <c r="I20" s="17"/>
      <c r="J20" s="17"/>
      <c r="K20" s="17"/>
      <c r="L20" s="17"/>
      <c r="M20" s="17"/>
      <c r="U20" s="3">
        <v>63096</v>
      </c>
      <c r="V20" s="3" t="s">
        <v>8</v>
      </c>
      <c r="Y20" s="4" t="s">
        <v>6</v>
      </c>
      <c r="Z20" s="4">
        <v>16085</v>
      </c>
      <c r="AA20" s="4"/>
    </row>
    <row r="21" spans="1:27" ht="15">
      <c r="A21" s="19"/>
      <c r="B21" s="19"/>
      <c r="C21" s="20"/>
      <c r="D21" s="20"/>
      <c r="E21" s="20"/>
      <c r="F21" s="19"/>
      <c r="G21" s="22"/>
      <c r="H21" s="17"/>
      <c r="I21" s="17"/>
      <c r="J21" s="17"/>
      <c r="K21" s="17"/>
      <c r="L21" s="17"/>
      <c r="M21" s="17"/>
      <c r="U21" s="3">
        <v>63097</v>
      </c>
      <c r="V21" s="3" t="s">
        <v>8</v>
      </c>
      <c r="Y21" s="4" t="s">
        <v>6</v>
      </c>
      <c r="Z21" s="4">
        <v>16085</v>
      </c>
      <c r="AA21" s="4"/>
    </row>
    <row r="22" spans="1:27" ht="15">
      <c r="A22" s="5"/>
      <c r="B22" s="5"/>
      <c r="C22" s="6"/>
      <c r="D22" s="6"/>
      <c r="E22" s="6"/>
      <c r="F22" s="5"/>
      <c r="G22" s="23"/>
      <c r="H22" s="17"/>
      <c r="I22" s="17"/>
      <c r="J22" s="17"/>
      <c r="K22" s="17"/>
      <c r="L22" s="17"/>
      <c r="M22" s="17"/>
      <c r="U22" s="3">
        <v>63098</v>
      </c>
      <c r="V22" s="3" t="s">
        <v>8</v>
      </c>
      <c r="Y22" s="4" t="s">
        <v>6</v>
      </c>
      <c r="Z22" s="4">
        <v>16612</v>
      </c>
      <c r="AA22" s="4"/>
    </row>
    <row r="23" spans="1:27" ht="15">
      <c r="A23" s="11"/>
      <c r="B23" s="11"/>
      <c r="C23" s="12"/>
      <c r="D23" s="12"/>
      <c r="E23" s="12"/>
      <c r="F23" s="11"/>
      <c r="G23" s="23"/>
      <c r="H23" s="17"/>
      <c r="I23" s="17"/>
      <c r="J23" s="17"/>
      <c r="K23" s="17"/>
      <c r="L23" s="17"/>
      <c r="M23" s="17"/>
      <c r="U23" s="3">
        <v>63099</v>
      </c>
      <c r="V23" s="3" t="s">
        <v>8</v>
      </c>
      <c r="Y23" s="4" t="s">
        <v>6</v>
      </c>
      <c r="Z23" s="4">
        <v>16612</v>
      </c>
      <c r="AA23" s="4"/>
    </row>
    <row r="24" spans="1:27" ht="15">
      <c r="A24" s="15"/>
      <c r="B24" s="15"/>
      <c r="C24" s="16"/>
      <c r="D24" s="16"/>
      <c r="E24" s="16"/>
      <c r="F24" s="15"/>
      <c r="G24" s="23"/>
      <c r="H24" s="17"/>
      <c r="I24" s="17"/>
      <c r="J24" s="17"/>
      <c r="K24" s="17"/>
      <c r="L24" s="17"/>
      <c r="M24" s="17"/>
      <c r="U24" s="3">
        <v>63100</v>
      </c>
      <c r="V24" s="3" t="s">
        <v>8</v>
      </c>
      <c r="Y24" s="4" t="s">
        <v>6</v>
      </c>
      <c r="Z24" s="4">
        <v>16858</v>
      </c>
      <c r="AA24" s="4"/>
    </row>
    <row r="25" spans="1:27" ht="15">
      <c r="A25" s="19"/>
      <c r="B25" s="19"/>
      <c r="C25" s="20"/>
      <c r="D25" s="20"/>
      <c r="E25" s="20"/>
      <c r="F25" s="19"/>
      <c r="G25" s="23"/>
      <c r="H25" s="17"/>
      <c r="I25" s="17"/>
      <c r="J25" s="17"/>
      <c r="K25" s="17"/>
      <c r="L25" s="17"/>
      <c r="M25" s="17"/>
      <c r="U25" s="3">
        <v>63101</v>
      </c>
      <c r="V25" s="3" t="s">
        <v>8</v>
      </c>
      <c r="Y25" s="4" t="s">
        <v>6</v>
      </c>
      <c r="Z25" s="4">
        <v>16858</v>
      </c>
      <c r="AA25" s="4"/>
    </row>
    <row r="26" spans="1:27" ht="15">
      <c r="A26" s="5"/>
      <c r="B26" s="5"/>
      <c r="C26" s="6"/>
      <c r="D26" s="6"/>
      <c r="E26" s="6"/>
      <c r="F26" s="5"/>
      <c r="G26" s="23"/>
      <c r="H26" s="17"/>
      <c r="I26" s="17"/>
      <c r="J26" s="17"/>
      <c r="K26" s="17"/>
      <c r="L26" s="17"/>
      <c r="M26" s="17"/>
      <c r="U26" s="3">
        <v>63102</v>
      </c>
      <c r="V26" s="3" t="s">
        <v>8</v>
      </c>
      <c r="Y26" s="4" t="s">
        <v>6</v>
      </c>
      <c r="Z26" s="4">
        <v>19662</v>
      </c>
      <c r="AA26" s="4"/>
    </row>
    <row r="27" spans="1:27" ht="15">
      <c r="A27" s="11"/>
      <c r="B27" s="11"/>
      <c r="C27" s="12"/>
      <c r="D27" s="12"/>
      <c r="E27" s="12"/>
      <c r="F27" s="11"/>
      <c r="G27" s="23"/>
      <c r="H27" s="17"/>
      <c r="I27" s="17"/>
      <c r="J27" s="17"/>
      <c r="K27" s="17"/>
      <c r="L27" s="17"/>
      <c r="M27" s="17"/>
      <c r="U27" s="3">
        <v>63103</v>
      </c>
      <c r="V27" s="3" t="s">
        <v>8</v>
      </c>
      <c r="Y27" s="4" t="s">
        <v>6</v>
      </c>
      <c r="Z27" s="4">
        <v>19662</v>
      </c>
      <c r="AA27" s="4"/>
    </row>
    <row r="28" spans="1:27" ht="15">
      <c r="A28" s="15"/>
      <c r="B28" s="15"/>
      <c r="C28" s="16"/>
      <c r="D28" s="16"/>
      <c r="E28" s="16"/>
      <c r="F28" s="15"/>
      <c r="G28" s="23"/>
      <c r="H28" s="17"/>
      <c r="I28" s="17"/>
      <c r="J28" s="17"/>
      <c r="K28" s="17"/>
      <c r="L28" s="17"/>
      <c r="M28" s="17"/>
      <c r="U28" s="3">
        <v>63104</v>
      </c>
      <c r="V28" s="3" t="s">
        <v>8</v>
      </c>
      <c r="Y28" s="4" t="s">
        <v>6</v>
      </c>
      <c r="Z28" s="4">
        <v>19662</v>
      </c>
      <c r="AA28" s="4"/>
    </row>
    <row r="29" spans="1:27" ht="15">
      <c r="A29" s="19"/>
      <c r="B29" s="19"/>
      <c r="C29" s="20"/>
      <c r="D29" s="20"/>
      <c r="E29" s="20"/>
      <c r="F29" s="19"/>
      <c r="G29" s="22"/>
      <c r="H29" s="17"/>
      <c r="I29" s="17"/>
      <c r="J29" s="17"/>
      <c r="K29" s="17"/>
      <c r="L29" s="17"/>
      <c r="M29" s="17"/>
      <c r="U29" s="3">
        <v>63105</v>
      </c>
      <c r="V29" s="3" t="s">
        <v>8</v>
      </c>
      <c r="Y29" s="4" t="s">
        <v>6</v>
      </c>
      <c r="Z29" s="4">
        <v>19662</v>
      </c>
      <c r="AA29" s="4"/>
    </row>
    <row r="30" spans="1:27" ht="15">
      <c r="A30" s="5"/>
      <c r="B30" s="5"/>
      <c r="C30" s="6"/>
      <c r="D30" s="6"/>
      <c r="E30" s="6"/>
      <c r="F30" s="5"/>
      <c r="G30" s="23"/>
      <c r="H30" s="17"/>
      <c r="I30" s="17"/>
      <c r="J30" s="17"/>
      <c r="K30" s="17"/>
      <c r="L30" s="17"/>
      <c r="M30" s="17"/>
      <c r="U30" s="3">
        <v>63106</v>
      </c>
      <c r="V30" s="3" t="s">
        <v>8</v>
      </c>
      <c r="Y30" s="4" t="s">
        <v>6</v>
      </c>
      <c r="Z30" s="4">
        <v>19662</v>
      </c>
      <c r="AA30" s="4"/>
    </row>
    <row r="31" spans="1:27" ht="15">
      <c r="A31" s="11"/>
      <c r="B31" s="11"/>
      <c r="C31" s="12"/>
      <c r="D31" s="12"/>
      <c r="E31" s="12"/>
      <c r="F31" s="11"/>
      <c r="G31" s="23"/>
      <c r="H31" s="17"/>
      <c r="I31" s="17"/>
      <c r="J31" s="17"/>
      <c r="K31" s="17"/>
      <c r="L31" s="17"/>
      <c r="M31" s="17"/>
      <c r="U31" s="3">
        <v>63107</v>
      </c>
      <c r="V31" s="3" t="s">
        <v>8</v>
      </c>
      <c r="Y31" s="4" t="s">
        <v>6</v>
      </c>
      <c r="Z31" s="4">
        <v>20001</v>
      </c>
      <c r="AA31" s="4"/>
    </row>
    <row r="32" spans="1:27" ht="15">
      <c r="A32" s="15"/>
      <c r="B32" s="15"/>
      <c r="C32" s="16"/>
      <c r="D32" s="16"/>
      <c r="E32" s="16"/>
      <c r="F32" s="15"/>
      <c r="G32" s="7"/>
      <c r="H32" s="17"/>
      <c r="I32" s="17"/>
      <c r="J32" s="17"/>
      <c r="K32" s="17"/>
      <c r="L32" s="17"/>
      <c r="M32" s="17"/>
      <c r="U32" s="3">
        <v>63108</v>
      </c>
      <c r="V32" s="3" t="s">
        <v>8</v>
      </c>
      <c r="Y32" s="4" t="s">
        <v>6</v>
      </c>
      <c r="Z32" s="4">
        <v>20001</v>
      </c>
      <c r="AA32" s="4"/>
    </row>
    <row r="33" spans="1:27" ht="15">
      <c r="A33" s="19"/>
      <c r="B33" s="19"/>
      <c r="C33" s="20"/>
      <c r="D33" s="20"/>
      <c r="E33" s="20"/>
      <c r="F33" s="19"/>
      <c r="H33" s="17"/>
      <c r="I33" s="17"/>
      <c r="J33" s="17"/>
      <c r="K33" s="17"/>
      <c r="L33" s="17"/>
      <c r="M33" s="17"/>
      <c r="U33" s="3">
        <v>63110</v>
      </c>
      <c r="V33" s="3" t="s">
        <v>8</v>
      </c>
      <c r="Y33" s="4" t="s">
        <v>6</v>
      </c>
      <c r="Z33" s="4">
        <v>20718</v>
      </c>
      <c r="AA33" s="4"/>
    </row>
    <row r="34" spans="1:27" ht="15">
      <c r="A34" s="5"/>
      <c r="B34" s="5"/>
      <c r="C34" s="6"/>
      <c r="D34" s="6"/>
      <c r="E34" s="6"/>
      <c r="F34" s="5"/>
      <c r="H34" s="17"/>
      <c r="I34" s="17"/>
      <c r="J34" s="17"/>
      <c r="K34" s="17"/>
      <c r="L34" s="17"/>
      <c r="M34" s="17"/>
      <c r="U34" s="3">
        <v>7309</v>
      </c>
      <c r="V34" s="3" t="s">
        <v>8</v>
      </c>
      <c r="Y34" s="4" t="s">
        <v>6</v>
      </c>
      <c r="Z34" s="4">
        <v>21105</v>
      </c>
      <c r="AA34" s="4"/>
    </row>
    <row r="35" spans="1:27" ht="15">
      <c r="A35" s="11"/>
      <c r="B35" s="11"/>
      <c r="C35" s="12"/>
      <c r="D35" s="12"/>
      <c r="E35" s="12"/>
      <c r="F35" s="11"/>
      <c r="H35" s="17"/>
      <c r="I35" s="17"/>
      <c r="J35" s="17"/>
      <c r="K35" s="17"/>
      <c r="L35" s="17"/>
      <c r="M35" s="17"/>
      <c r="U35" s="3">
        <v>7310</v>
      </c>
      <c r="V35" s="3" t="s">
        <v>8</v>
      </c>
      <c r="Y35" s="4" t="s">
        <v>6</v>
      </c>
      <c r="Z35" s="4">
        <v>25273</v>
      </c>
      <c r="AA35" s="4"/>
    </row>
    <row r="36" spans="1:27" ht="15">
      <c r="A36" s="15"/>
      <c r="B36" s="15"/>
      <c r="C36" s="16"/>
      <c r="D36" s="16"/>
      <c r="E36" s="16"/>
      <c r="F36" s="15"/>
      <c r="H36" s="17"/>
      <c r="I36" s="17"/>
      <c r="J36" s="17"/>
      <c r="K36" s="17"/>
      <c r="L36" s="17"/>
      <c r="M36" s="17"/>
      <c r="U36" s="3">
        <v>77923</v>
      </c>
      <c r="V36" s="3" t="s">
        <v>8</v>
      </c>
      <c r="Y36" s="4" t="s">
        <v>6</v>
      </c>
      <c r="Z36" s="4">
        <v>26318</v>
      </c>
      <c r="AA36" s="4"/>
    </row>
    <row r="37" spans="1:27" ht="15">
      <c r="A37" s="19"/>
      <c r="B37" s="19"/>
      <c r="C37" s="20"/>
      <c r="D37" s="20"/>
      <c r="E37" s="20"/>
      <c r="F37" s="19"/>
      <c r="H37" s="17"/>
      <c r="I37" s="17"/>
      <c r="J37" s="17"/>
      <c r="K37" s="17"/>
      <c r="L37" s="17"/>
      <c r="M37" s="17"/>
      <c r="U37" s="3">
        <v>8807</v>
      </c>
      <c r="V37" s="3" t="s">
        <v>8</v>
      </c>
      <c r="Y37" s="4" t="s">
        <v>6</v>
      </c>
      <c r="Z37" s="4">
        <v>26318</v>
      </c>
      <c r="AA37" s="4"/>
    </row>
    <row r="38" spans="1:27" ht="15">
      <c r="A38" s="5"/>
      <c r="B38" s="5"/>
      <c r="C38" s="6"/>
      <c r="D38" s="6"/>
      <c r="E38" s="6"/>
      <c r="F38" s="5"/>
      <c r="H38" s="17"/>
      <c r="I38" s="17"/>
      <c r="J38" s="17"/>
      <c r="K38" s="17"/>
      <c r="L38" s="17"/>
      <c r="M38" s="17"/>
      <c r="U38" s="3">
        <v>3168</v>
      </c>
      <c r="V38" s="3" t="s">
        <v>8</v>
      </c>
      <c r="Y38" s="4" t="s">
        <v>6</v>
      </c>
      <c r="Z38" s="4">
        <v>26318</v>
      </c>
      <c r="AA38" s="4"/>
    </row>
    <row r="39" spans="1:27" ht="15">
      <c r="A39" s="11"/>
      <c r="B39" s="11"/>
      <c r="C39" s="12"/>
      <c r="D39" s="12"/>
      <c r="E39" s="12"/>
      <c r="F39" s="11"/>
      <c r="H39" s="17"/>
      <c r="I39" s="17"/>
      <c r="J39" s="17"/>
      <c r="K39" s="17"/>
      <c r="L39" s="17"/>
      <c r="M39" s="17"/>
      <c r="U39" s="3">
        <v>27030</v>
      </c>
      <c r="V39" s="3" t="s">
        <v>8</v>
      </c>
      <c r="Y39" s="4" t="s">
        <v>6</v>
      </c>
      <c r="Z39" s="4">
        <v>26318</v>
      </c>
      <c r="AA39" s="4"/>
    </row>
    <row r="40" spans="1:27" ht="15">
      <c r="A40" s="15"/>
      <c r="B40" s="15"/>
      <c r="C40" s="16"/>
      <c r="D40" s="16"/>
      <c r="E40" s="16"/>
      <c r="F40" s="15"/>
      <c r="H40" s="17"/>
      <c r="I40" s="17"/>
      <c r="J40" s="17"/>
      <c r="K40" s="17"/>
      <c r="L40" s="17"/>
      <c r="M40" s="17"/>
      <c r="U40" s="3">
        <v>360</v>
      </c>
      <c r="V40" s="3" t="s">
        <v>8</v>
      </c>
      <c r="Y40" s="4" t="s">
        <v>6</v>
      </c>
      <c r="Z40" s="4">
        <v>26318</v>
      </c>
      <c r="AA40" s="4"/>
    </row>
    <row r="41" spans="1:27" ht="15">
      <c r="A41" s="19"/>
      <c r="B41" s="19"/>
      <c r="C41" s="20"/>
      <c r="D41" s="20"/>
      <c r="E41" s="20"/>
      <c r="F41" s="19"/>
      <c r="H41" s="17"/>
      <c r="I41" s="17"/>
      <c r="J41" s="17"/>
      <c r="K41" s="17"/>
      <c r="L41" s="17"/>
      <c r="M41" s="17"/>
      <c r="U41" s="3">
        <v>6020</v>
      </c>
      <c r="V41" s="3" t="s">
        <v>8</v>
      </c>
      <c r="Y41" s="4" t="s">
        <v>6</v>
      </c>
      <c r="Z41" s="4">
        <v>27030</v>
      </c>
      <c r="AA41" s="4"/>
    </row>
    <row r="42" spans="1:27" ht="15">
      <c r="A42" s="11"/>
      <c r="B42" s="11"/>
      <c r="C42" s="11"/>
      <c r="D42" s="11"/>
      <c r="E42" s="11"/>
      <c r="F42" s="11"/>
      <c r="H42" s="17"/>
      <c r="I42" s="17"/>
      <c r="J42" s="17"/>
      <c r="K42" s="17"/>
      <c r="L42" s="17"/>
      <c r="M42" s="17"/>
      <c r="U42" s="3">
        <v>78785</v>
      </c>
      <c r="V42" s="3" t="s">
        <v>8</v>
      </c>
      <c r="Y42" s="4" t="s">
        <v>6</v>
      </c>
      <c r="Z42" s="4">
        <v>27238</v>
      </c>
      <c r="AA42" s="4"/>
    </row>
    <row r="43" spans="1:27" ht="15">
      <c r="A43" s="15"/>
      <c r="B43" s="15"/>
      <c r="C43" s="15"/>
      <c r="D43" s="15"/>
      <c r="E43" s="15"/>
      <c r="F43" s="15"/>
      <c r="H43" s="17"/>
      <c r="I43" s="17"/>
      <c r="J43" s="17"/>
      <c r="K43" s="17"/>
      <c r="L43" s="17"/>
      <c r="M43" s="17"/>
      <c r="U43" s="3">
        <v>27250</v>
      </c>
      <c r="V43" s="3" t="s">
        <v>8</v>
      </c>
      <c r="Y43" s="4" t="s">
        <v>6</v>
      </c>
      <c r="Z43" s="4">
        <v>27250</v>
      </c>
      <c r="AA43" s="4"/>
    </row>
    <row r="44" spans="1:27" ht="15">
      <c r="A44" s="19"/>
      <c r="B44" s="19"/>
      <c r="C44" s="19"/>
      <c r="D44" s="19"/>
      <c r="E44" s="19"/>
      <c r="F44" s="19"/>
      <c r="H44" s="17"/>
      <c r="I44" s="17"/>
      <c r="J44" s="17"/>
      <c r="K44" s="17"/>
      <c r="L44" s="17"/>
      <c r="M44" s="17"/>
      <c r="U44" s="3">
        <v>17416</v>
      </c>
      <c r="V44" s="3" t="s">
        <v>8</v>
      </c>
      <c r="Y44" s="4" t="s">
        <v>6</v>
      </c>
      <c r="Z44" s="4">
        <v>27701</v>
      </c>
      <c r="AA44" s="4"/>
    </row>
    <row r="45" spans="1:27" ht="15">
      <c r="A45" s="5"/>
      <c r="B45" s="5"/>
      <c r="C45" s="5"/>
      <c r="D45" s="5"/>
      <c r="E45" s="5"/>
      <c r="F45" s="5"/>
      <c r="H45" s="17"/>
      <c r="I45" s="17"/>
      <c r="J45" s="17"/>
      <c r="K45" s="17"/>
      <c r="L45" s="17"/>
      <c r="M45" s="17"/>
      <c r="U45" s="3">
        <v>60535</v>
      </c>
      <c r="V45" s="3" t="s">
        <v>8</v>
      </c>
      <c r="Y45" s="4" t="s">
        <v>6</v>
      </c>
      <c r="Z45" s="4">
        <v>27701</v>
      </c>
      <c r="AA45" s="4"/>
    </row>
    <row r="46" spans="1:27" ht="15">
      <c r="A46" s="11"/>
      <c r="B46" s="11"/>
      <c r="C46" s="11"/>
      <c r="D46" s="11"/>
      <c r="E46" s="11"/>
      <c r="F46" s="11"/>
      <c r="H46" s="17"/>
      <c r="I46" s="17"/>
      <c r="J46" s="17"/>
      <c r="K46" s="17"/>
      <c r="L46" s="17"/>
      <c r="M46" s="17"/>
      <c r="U46" s="3">
        <v>78786</v>
      </c>
      <c r="V46" s="3" t="s">
        <v>8</v>
      </c>
      <c r="Y46" s="4" t="s">
        <v>6</v>
      </c>
      <c r="Z46" s="4">
        <v>27736</v>
      </c>
      <c r="AA46" s="4"/>
    </row>
    <row r="47" spans="1:27" ht="15">
      <c r="A47" s="15"/>
      <c r="B47" s="15"/>
      <c r="C47" s="15"/>
      <c r="D47" s="15"/>
      <c r="E47" s="15"/>
      <c r="F47" s="15"/>
      <c r="H47" s="17"/>
      <c r="I47" s="17"/>
      <c r="J47" s="17"/>
      <c r="K47" s="17"/>
      <c r="L47" s="17"/>
      <c r="M47" s="17"/>
      <c r="U47" s="3">
        <v>938</v>
      </c>
      <c r="V47" s="3" t="s">
        <v>8</v>
      </c>
      <c r="Y47" s="4" t="s">
        <v>6</v>
      </c>
      <c r="Z47" s="4">
        <v>27736</v>
      </c>
      <c r="AA47" s="4"/>
    </row>
    <row r="48" spans="1:27" ht="15">
      <c r="A48" s="19"/>
      <c r="B48" s="19"/>
      <c r="C48" s="19"/>
      <c r="D48" s="19"/>
      <c r="E48" s="19"/>
      <c r="F48" s="19"/>
      <c r="H48" s="17"/>
      <c r="I48" s="17"/>
      <c r="J48" s="17"/>
      <c r="K48" s="17"/>
      <c r="L48" s="17"/>
      <c r="M48" s="17"/>
      <c r="U48" s="3">
        <v>67900</v>
      </c>
      <c r="V48" s="3" t="s">
        <v>8</v>
      </c>
      <c r="Y48" s="4" t="s">
        <v>6</v>
      </c>
      <c r="Z48" s="4">
        <v>27736</v>
      </c>
      <c r="AA48" s="4"/>
    </row>
    <row r="49" spans="1:27" ht="15">
      <c r="A49" s="5"/>
      <c r="B49" s="5"/>
      <c r="C49" s="5"/>
      <c r="D49" s="5"/>
      <c r="E49" s="5"/>
      <c r="F49" s="5"/>
      <c r="H49" s="17"/>
      <c r="I49" s="17"/>
      <c r="J49" s="17"/>
      <c r="K49" s="17"/>
      <c r="L49" s="17"/>
      <c r="M49" s="17"/>
      <c r="U49" s="3">
        <v>9854</v>
      </c>
      <c r="V49" s="3" t="s">
        <v>8</v>
      </c>
      <c r="Y49" s="4" t="s">
        <v>6</v>
      </c>
      <c r="Z49" s="4">
        <v>27736</v>
      </c>
      <c r="AA49" s="4"/>
    </row>
    <row r="50" spans="1:27" ht="15">
      <c r="A50" s="11"/>
      <c r="B50" s="11"/>
      <c r="C50" s="11"/>
      <c r="D50" s="11"/>
      <c r="E50" s="11"/>
      <c r="F50" s="11"/>
      <c r="H50" s="17"/>
      <c r="I50" s="17"/>
      <c r="J50" s="17"/>
      <c r="K50" s="17"/>
      <c r="L50" s="17"/>
      <c r="M50" s="17"/>
      <c r="U50" s="3">
        <v>38519</v>
      </c>
      <c r="V50" s="3" t="s">
        <v>8</v>
      </c>
      <c r="Y50" s="4" t="s">
        <v>6</v>
      </c>
      <c r="Z50" s="4">
        <v>27736</v>
      </c>
      <c r="AA50" s="4"/>
    </row>
    <row r="51" spans="1:27" ht="15">
      <c r="A51" s="15"/>
      <c r="B51" s="15"/>
      <c r="C51" s="15"/>
      <c r="D51" s="15"/>
      <c r="E51" s="15"/>
      <c r="F51" s="15"/>
      <c r="H51" s="17"/>
      <c r="I51" s="17"/>
      <c r="J51" s="17"/>
      <c r="K51" s="17"/>
      <c r="L51" s="17"/>
      <c r="M51" s="17"/>
      <c r="U51" s="3">
        <v>16612</v>
      </c>
      <c r="V51" s="3" t="s">
        <v>8</v>
      </c>
      <c r="Y51" s="4" t="s">
        <v>6</v>
      </c>
      <c r="Z51" s="4">
        <v>27994</v>
      </c>
      <c r="AA51" s="4"/>
    </row>
    <row r="52" spans="1:27" ht="15">
      <c r="A52" s="19"/>
      <c r="B52" s="19"/>
      <c r="C52" s="19"/>
      <c r="D52" s="19"/>
      <c r="E52" s="19"/>
      <c r="F52" s="19"/>
      <c r="H52" s="17"/>
      <c r="I52" s="17"/>
      <c r="J52" s="17"/>
      <c r="K52" s="17"/>
      <c r="L52" s="17"/>
      <c r="M52" s="17"/>
      <c r="U52" s="3">
        <v>13760</v>
      </c>
      <c r="V52" s="3" t="s">
        <v>8</v>
      </c>
      <c r="Y52" s="4" t="s">
        <v>6</v>
      </c>
      <c r="Z52" s="4">
        <v>29007</v>
      </c>
      <c r="AA52" s="4"/>
    </row>
    <row r="53" spans="1:27" ht="15">
      <c r="A53" s="24"/>
      <c r="B53" s="24"/>
      <c r="C53" s="24"/>
      <c r="D53" s="24"/>
      <c r="E53" s="24"/>
      <c r="F53" s="24"/>
      <c r="H53" s="17"/>
      <c r="I53" s="17"/>
      <c r="J53" s="17"/>
      <c r="K53" s="17"/>
      <c r="L53" s="17"/>
      <c r="M53" s="17"/>
      <c r="U53" s="3">
        <v>38894</v>
      </c>
      <c r="V53" s="3" t="s">
        <v>8</v>
      </c>
      <c r="Y53" s="4" t="s">
        <v>6</v>
      </c>
      <c r="Z53" s="4">
        <v>29008</v>
      </c>
      <c r="AA53" s="4"/>
    </row>
    <row r="54" spans="1:27" ht="15">
      <c r="A54" s="25"/>
      <c r="B54" s="25"/>
      <c r="C54" s="25"/>
      <c r="D54" s="25"/>
      <c r="E54" s="25"/>
      <c r="F54" s="25"/>
      <c r="H54" s="17"/>
      <c r="I54" s="17"/>
      <c r="J54" s="17"/>
      <c r="K54" s="17"/>
      <c r="L54" s="17"/>
      <c r="M54" s="17"/>
      <c r="U54" s="3">
        <v>64101</v>
      </c>
      <c r="V54" s="3" t="s">
        <v>8</v>
      </c>
      <c r="Y54" s="4" t="s">
        <v>6</v>
      </c>
      <c r="Z54" s="4">
        <v>29009</v>
      </c>
      <c r="AA54" s="4"/>
    </row>
    <row r="55" spans="1:27" ht="15">
      <c r="A55" s="26"/>
      <c r="B55" s="26"/>
      <c r="C55" s="26"/>
      <c r="D55" s="26"/>
      <c r="E55" s="26"/>
      <c r="F55" s="26"/>
      <c r="H55" s="17"/>
      <c r="I55" s="17"/>
      <c r="J55" s="17"/>
      <c r="K55" s="17"/>
      <c r="L55" s="17"/>
      <c r="M55" s="17"/>
      <c r="U55" s="3">
        <v>36638</v>
      </c>
      <c r="V55" s="3" t="s">
        <v>8</v>
      </c>
      <c r="Y55" s="4" t="s">
        <v>6</v>
      </c>
      <c r="Z55" s="4">
        <v>29009</v>
      </c>
      <c r="AA55" s="4"/>
    </row>
    <row r="56" spans="1:27" ht="15">
      <c r="A56" s="27"/>
      <c r="B56" s="27"/>
      <c r="C56" s="27"/>
      <c r="D56" s="27"/>
      <c r="E56" s="27"/>
      <c r="F56" s="27"/>
      <c r="H56" s="17"/>
      <c r="I56" s="17"/>
      <c r="J56" s="17"/>
      <c r="K56" s="17"/>
      <c r="L56" s="17"/>
      <c r="M56" s="17"/>
      <c r="U56" s="3">
        <v>36718</v>
      </c>
      <c r="V56" s="3" t="s">
        <v>8</v>
      </c>
      <c r="Y56" s="4" t="s">
        <v>6</v>
      </c>
      <c r="Z56" s="4">
        <v>29009</v>
      </c>
      <c r="AA56" s="4"/>
    </row>
    <row r="57" spans="1:27" ht="15">
      <c r="A57" s="24"/>
      <c r="B57" s="24"/>
      <c r="C57" s="24"/>
      <c r="D57" s="24"/>
      <c r="E57" s="24"/>
      <c r="F57" s="24"/>
      <c r="H57" s="17"/>
      <c r="I57" s="17"/>
      <c r="J57" s="17"/>
      <c r="K57" s="17"/>
      <c r="L57" s="17"/>
      <c r="M57" s="17"/>
      <c r="U57" s="3">
        <v>27238</v>
      </c>
      <c r="V57" s="3" t="s">
        <v>8</v>
      </c>
      <c r="Y57" s="4" t="s">
        <v>6</v>
      </c>
      <c r="Z57" s="4">
        <v>29010</v>
      </c>
      <c r="AA57" s="4"/>
    </row>
    <row r="58" spans="1:27" ht="15">
      <c r="A58" s="25"/>
      <c r="B58" s="25"/>
      <c r="C58" s="25"/>
      <c r="D58" s="25"/>
      <c r="E58" s="25"/>
      <c r="F58" s="25"/>
      <c r="H58" s="17"/>
      <c r="I58" s="17"/>
      <c r="J58" s="17"/>
      <c r="K58" s="17" t="s">
        <v>9</v>
      </c>
      <c r="L58" s="17"/>
      <c r="M58" s="17"/>
      <c r="U58" s="3">
        <v>35142</v>
      </c>
      <c r="V58" s="3" t="s">
        <v>8</v>
      </c>
      <c r="Y58" s="4" t="s">
        <v>6</v>
      </c>
      <c r="Z58" s="4">
        <v>29010</v>
      </c>
      <c r="AA58" s="4"/>
    </row>
    <row r="59" spans="1:27" ht="15">
      <c r="A59" s="26"/>
      <c r="B59" s="26"/>
      <c r="C59" s="26"/>
      <c r="D59" s="26"/>
      <c r="E59" s="26"/>
      <c r="F59" s="26"/>
      <c r="H59" s="17"/>
      <c r="I59" s="17"/>
      <c r="J59" s="17"/>
      <c r="K59" s="17"/>
      <c r="L59" s="17"/>
      <c r="M59" s="17"/>
      <c r="U59" s="3">
        <v>53337</v>
      </c>
      <c r="V59" s="3" t="s">
        <v>8</v>
      </c>
      <c r="Y59" s="4" t="s">
        <v>6</v>
      </c>
      <c r="Z59" s="4">
        <v>29010</v>
      </c>
      <c r="AA59" s="4"/>
    </row>
    <row r="60" spans="1:27" ht="15">
      <c r="A60" s="27"/>
      <c r="B60" s="27"/>
      <c r="C60" s="27"/>
      <c r="D60" s="27"/>
      <c r="E60" s="27"/>
      <c r="F60" s="27"/>
      <c r="H60" s="17"/>
      <c r="I60" s="17"/>
      <c r="J60" s="17"/>
      <c r="K60" s="17"/>
      <c r="L60" s="17"/>
      <c r="M60" s="17"/>
      <c r="U60" s="3">
        <v>605324</v>
      </c>
      <c r="V60" s="3" t="s">
        <v>8</v>
      </c>
      <c r="Y60" s="4" t="s">
        <v>6</v>
      </c>
      <c r="Z60" s="4">
        <v>29603</v>
      </c>
      <c r="AA60" s="4"/>
    </row>
    <row r="61" spans="1:27" ht="15">
      <c r="A61" s="24"/>
      <c r="B61" s="24"/>
      <c r="C61" s="24"/>
      <c r="D61" s="24"/>
      <c r="E61" s="24"/>
      <c r="F61" s="24"/>
      <c r="H61" s="17"/>
      <c r="I61" s="17"/>
      <c r="J61" s="17"/>
      <c r="K61" s="17"/>
      <c r="L61" s="17"/>
      <c r="M61" s="17"/>
      <c r="U61" s="3">
        <v>43235</v>
      </c>
      <c r="V61" s="3" t="s">
        <v>8</v>
      </c>
      <c r="Y61" s="4" t="s">
        <v>6</v>
      </c>
      <c r="Z61" s="4">
        <v>31308</v>
      </c>
      <c r="AA61" s="4"/>
    </row>
    <row r="62" spans="1:27" ht="15">
      <c r="A62" s="25"/>
      <c r="B62" s="25"/>
      <c r="C62" s="25"/>
      <c r="D62" s="25"/>
      <c r="E62" s="25"/>
      <c r="F62" s="25"/>
      <c r="H62" s="17"/>
      <c r="I62" s="17"/>
      <c r="J62" s="17"/>
      <c r="K62" s="17"/>
      <c r="L62" s="17"/>
      <c r="M62" s="17"/>
      <c r="U62" s="3">
        <v>85951</v>
      </c>
      <c r="V62" s="3" t="s">
        <v>8</v>
      </c>
      <c r="Y62" s="4" t="s">
        <v>6</v>
      </c>
      <c r="Z62" s="4">
        <v>31308</v>
      </c>
      <c r="AA62" s="4"/>
    </row>
    <row r="63" spans="1:27" ht="15">
      <c r="A63" s="26"/>
      <c r="B63" s="26"/>
      <c r="C63" s="26"/>
      <c r="D63" s="26"/>
      <c r="E63" s="26"/>
      <c r="F63" s="26"/>
      <c r="H63" s="17"/>
      <c r="I63" s="17"/>
      <c r="J63" s="17"/>
      <c r="K63" s="17"/>
      <c r="L63" s="17"/>
      <c r="M63" s="17"/>
      <c r="Y63" s="4" t="s">
        <v>6</v>
      </c>
      <c r="Z63" s="4">
        <v>31308</v>
      </c>
      <c r="AA63" s="4"/>
    </row>
    <row r="64" spans="1:27" ht="15">
      <c r="A64" s="27"/>
      <c r="B64" s="27"/>
      <c r="C64" s="27"/>
      <c r="D64" s="27"/>
      <c r="E64" s="27"/>
      <c r="F64" s="27"/>
      <c r="H64" s="17"/>
      <c r="I64" s="17"/>
      <c r="J64" s="17"/>
      <c r="K64" s="17"/>
      <c r="L64" s="17"/>
      <c r="M64" s="17"/>
      <c r="Y64" s="4" t="s">
        <v>6</v>
      </c>
      <c r="Z64" s="4">
        <v>31308</v>
      </c>
      <c r="AA64" s="4"/>
    </row>
    <row r="65" spans="1:27" ht="15">
      <c r="A65" s="24"/>
      <c r="B65" s="24"/>
      <c r="C65" s="24"/>
      <c r="D65" s="24"/>
      <c r="E65" s="24"/>
      <c r="F65" s="24"/>
      <c r="H65" s="17"/>
      <c r="I65" s="17"/>
      <c r="J65" s="17"/>
      <c r="K65" s="17"/>
      <c r="L65" s="17"/>
      <c r="M65" s="17"/>
      <c r="Y65" s="4" t="s">
        <v>6</v>
      </c>
      <c r="Z65" s="4">
        <v>31308</v>
      </c>
      <c r="AA65" s="4"/>
    </row>
    <row r="66" spans="1:27" ht="15">
      <c r="A66" s="25"/>
      <c r="B66" s="25"/>
      <c r="C66" s="25"/>
      <c r="D66" s="25"/>
      <c r="E66" s="25"/>
      <c r="F66" s="25"/>
      <c r="H66" s="17"/>
      <c r="I66" s="17"/>
      <c r="J66" s="17"/>
      <c r="K66" s="17"/>
      <c r="L66" s="17"/>
      <c r="M66" s="17"/>
      <c r="Y66" s="4" t="s">
        <v>6</v>
      </c>
      <c r="Z66" s="4">
        <v>31308</v>
      </c>
      <c r="AA66" s="4"/>
    </row>
    <row r="67" spans="1:27" ht="15">
      <c r="A67" s="26"/>
      <c r="B67" s="26"/>
      <c r="C67" s="26"/>
      <c r="D67" s="26"/>
      <c r="E67" s="26"/>
      <c r="F67" s="26"/>
      <c r="H67" s="17"/>
      <c r="I67" s="17"/>
      <c r="J67" s="17"/>
      <c r="K67" s="17"/>
      <c r="L67" s="17"/>
      <c r="M67" s="17"/>
      <c r="Y67" s="4" t="s">
        <v>6</v>
      </c>
      <c r="Z67" s="4">
        <v>31308</v>
      </c>
      <c r="AA67" s="4"/>
    </row>
    <row r="68" spans="1:27" ht="15">
      <c r="A68" s="27"/>
      <c r="B68" s="27"/>
      <c r="C68" s="27"/>
      <c r="D68" s="27"/>
      <c r="E68" s="27"/>
      <c r="F68" s="27"/>
      <c r="H68" s="17"/>
      <c r="I68" s="17"/>
      <c r="J68" s="17"/>
      <c r="K68" s="17"/>
      <c r="L68" s="17"/>
      <c r="M68" s="17"/>
      <c r="Y68" s="4" t="s">
        <v>6</v>
      </c>
      <c r="Z68" s="4">
        <v>31959</v>
      </c>
      <c r="AA68" s="4"/>
    </row>
    <row r="69" spans="1:27" ht="15">
      <c r="D69" s="28"/>
      <c r="E69" s="28"/>
      <c r="F69" s="28"/>
      <c r="H69" s="17"/>
      <c r="I69" s="17"/>
      <c r="J69" s="17"/>
      <c r="K69" s="17"/>
      <c r="L69" s="17"/>
      <c r="M69" s="17"/>
      <c r="Y69" s="4" t="s">
        <v>6</v>
      </c>
      <c r="Z69" s="4">
        <v>31959</v>
      </c>
      <c r="AA69" s="4"/>
    </row>
    <row r="70" spans="1:27" ht="15">
      <c r="D70" s="28"/>
      <c r="E70" s="28"/>
      <c r="F70" s="28"/>
      <c r="H70" s="17"/>
      <c r="I70" s="17"/>
      <c r="J70" s="17"/>
      <c r="K70" s="17">
        <v>4</v>
      </c>
      <c r="L70" s="17" t="s">
        <v>10</v>
      </c>
      <c r="M70" s="17"/>
      <c r="Y70" s="4" t="s">
        <v>6</v>
      </c>
      <c r="Z70" s="4">
        <v>31959</v>
      </c>
      <c r="AA70" s="4"/>
    </row>
    <row r="71" spans="1:27" ht="15">
      <c r="D71" s="28"/>
      <c r="E71" s="28"/>
      <c r="F71" s="28"/>
      <c r="H71" s="17"/>
      <c r="I71" s="17"/>
      <c r="J71" s="17"/>
      <c r="K71" s="17" t="s">
        <v>11</v>
      </c>
      <c r="L71" s="17">
        <v>4</v>
      </c>
      <c r="M71" s="17" t="s">
        <v>10</v>
      </c>
      <c r="Y71" s="4" t="s">
        <v>6</v>
      </c>
      <c r="Z71" s="4">
        <v>33396</v>
      </c>
      <c r="AA71" s="4"/>
    </row>
    <row r="72" spans="1:27" ht="15">
      <c r="D72" s="28"/>
      <c r="E72" s="28"/>
      <c r="F72" s="28"/>
      <c r="H72" s="17"/>
      <c r="I72" s="17"/>
      <c r="J72" s="17"/>
      <c r="K72" s="17"/>
      <c r="L72" s="17"/>
      <c r="M72" s="17"/>
      <c r="Y72" s="4" t="s">
        <v>6</v>
      </c>
      <c r="Z72" s="4">
        <v>33396</v>
      </c>
      <c r="AA72" s="4"/>
    </row>
    <row r="73" spans="1:27" ht="15">
      <c r="D73" s="28"/>
      <c r="E73" s="28"/>
      <c r="F73" s="28"/>
      <c r="H73" s="17"/>
      <c r="I73" s="17"/>
      <c r="J73" s="17"/>
      <c r="K73" s="17"/>
      <c r="L73" s="17"/>
      <c r="M73" s="17"/>
      <c r="Y73" s="4" t="s">
        <v>6</v>
      </c>
      <c r="Z73" s="4">
        <v>33396</v>
      </c>
      <c r="AA73" s="4"/>
    </row>
    <row r="74" spans="1:27" ht="15">
      <c r="D74" s="28"/>
      <c r="E74" s="28"/>
      <c r="F74" s="28"/>
      <c r="H74" s="17"/>
      <c r="I74" s="17"/>
      <c r="J74" s="17"/>
      <c r="K74" s="17"/>
      <c r="L74" s="17"/>
      <c r="M74" s="17"/>
      <c r="Y74" s="4" t="s">
        <v>6</v>
      </c>
      <c r="Z74" s="4">
        <v>33396</v>
      </c>
      <c r="AA74" s="4"/>
    </row>
    <row r="75" spans="1:27" ht="15">
      <c r="D75" s="28"/>
      <c r="E75" s="28"/>
      <c r="F75" s="28"/>
      <c r="H75" s="17"/>
      <c r="I75" s="17"/>
      <c r="J75" s="17"/>
      <c r="K75" s="17"/>
      <c r="L75" s="17"/>
      <c r="M75" s="17"/>
      <c r="Y75" s="4" t="s">
        <v>6</v>
      </c>
      <c r="Z75" s="4">
        <v>33396</v>
      </c>
      <c r="AA75" s="4"/>
    </row>
    <row r="76" spans="1:27" ht="15">
      <c r="D76" s="28"/>
      <c r="E76" s="28"/>
      <c r="F76" s="28"/>
      <c r="H76" s="17"/>
      <c r="I76" s="17"/>
      <c r="J76" s="17"/>
      <c r="K76" s="17" t="s">
        <v>12</v>
      </c>
      <c r="L76" s="17"/>
      <c r="M76" s="17"/>
      <c r="Y76" s="4" t="s">
        <v>6</v>
      </c>
      <c r="Z76" s="4">
        <v>33396</v>
      </c>
      <c r="AA76" s="4"/>
    </row>
    <row r="77" spans="1:27" ht="15">
      <c r="D77" s="28"/>
      <c r="E77" s="28"/>
      <c r="F77" s="28"/>
      <c r="H77" s="17"/>
      <c r="I77" s="17"/>
      <c r="J77" s="17"/>
      <c r="K77" s="17"/>
      <c r="L77" s="17"/>
      <c r="M77" s="17"/>
      <c r="Y77" s="4" t="s">
        <v>6</v>
      </c>
      <c r="Z77" s="4">
        <v>33396</v>
      </c>
      <c r="AA77" s="4"/>
    </row>
    <row r="78" spans="1:27" ht="15">
      <c r="D78" s="28"/>
      <c r="E78" s="28"/>
      <c r="F78" s="28"/>
      <c r="H78" s="17"/>
      <c r="I78" s="17"/>
      <c r="J78" s="17"/>
      <c r="K78" s="17"/>
      <c r="L78" s="17"/>
      <c r="M78" s="17"/>
      <c r="Y78" s="4" t="s">
        <v>6</v>
      </c>
      <c r="Z78" s="4">
        <v>33396</v>
      </c>
      <c r="AA78" s="4"/>
    </row>
    <row r="79" spans="1:27" ht="15">
      <c r="D79" s="28"/>
      <c r="E79" s="28"/>
      <c r="F79" s="28"/>
      <c r="H79" s="17"/>
      <c r="I79" s="17"/>
      <c r="J79" s="17"/>
      <c r="K79" s="17"/>
      <c r="L79" s="17"/>
      <c r="M79" s="17"/>
      <c r="Y79" s="4" t="s">
        <v>6</v>
      </c>
      <c r="Z79" s="4">
        <v>33396</v>
      </c>
      <c r="AA79" s="4"/>
    </row>
    <row r="80" spans="1:27" ht="15">
      <c r="A80" s="29">
        <v>33996</v>
      </c>
      <c r="B80" s="30" t="s">
        <v>13</v>
      </c>
      <c r="C80" s="29" t="s">
        <v>14</v>
      </c>
      <c r="D80" s="28" t="str">
        <f ca="1">IFERROR(__xludf.DUMMYFUNCTION("REGEXEXTRACT(C80, ""TRiP\.([^}]*)"")"),"HMS00959")</f>
        <v>HMS00959</v>
      </c>
      <c r="E80" s="28" t="s">
        <v>15</v>
      </c>
      <c r="F80" s="28" t="s">
        <v>16</v>
      </c>
      <c r="G80" s="31" t="e">
        <f t="shared" ref="G80:G111" ca="1" si="0">_xludf.XLOOKUP(K80,$C$80:$C$98,$D$80:$D$98, )</f>
        <v>#NAME?</v>
      </c>
      <c r="H80" s="17"/>
      <c r="I80" s="17"/>
      <c r="J80" s="17"/>
      <c r="K80" s="17"/>
      <c r="L80" s="17"/>
      <c r="M80" s="17"/>
      <c r="N80" s="32" t="s">
        <v>17</v>
      </c>
      <c r="O80" s="33" t="s">
        <v>18</v>
      </c>
      <c r="P80" s="34"/>
      <c r="Q80" s="33" t="s">
        <v>19</v>
      </c>
      <c r="R80" s="35" t="s">
        <v>20</v>
      </c>
      <c r="Y80" s="4" t="s">
        <v>6</v>
      </c>
      <c r="Z80" s="4">
        <v>33396</v>
      </c>
      <c r="AA80" s="4"/>
    </row>
    <row r="81" spans="1:27" ht="15">
      <c r="A81" s="29">
        <v>35142</v>
      </c>
      <c r="B81" s="29" t="s">
        <v>21</v>
      </c>
      <c r="C81" s="29" t="s">
        <v>22</v>
      </c>
      <c r="D81" s="28" t="str">
        <f ca="1">IFERROR(__xludf.DUMMYFUNCTION("REGEXEXTRACT(C81, ""TRiP\.([^}]*)"")"),"GL00009")</f>
        <v>GL00009</v>
      </c>
      <c r="E81" s="28" t="e">
        <f t="shared" ref="E81:E83" ca="1" si="1">_xludf.XLOOKUP(C81,$K$80:$K$111,$H$80:$H$111, )</f>
        <v>#NAME?</v>
      </c>
      <c r="F81" s="28" t="s">
        <v>16</v>
      </c>
      <c r="G81" s="31" t="e">
        <f t="shared" ca="1" si="0"/>
        <v>#NAME?</v>
      </c>
      <c r="H81" s="17"/>
      <c r="I81" s="17"/>
      <c r="J81" s="17"/>
      <c r="K81" s="17"/>
      <c r="L81" s="17"/>
      <c r="M81" s="17"/>
      <c r="N81" s="36" t="s">
        <v>23</v>
      </c>
      <c r="O81" s="33" t="s">
        <v>24</v>
      </c>
      <c r="P81" s="34"/>
      <c r="Q81" s="33" t="s">
        <v>25</v>
      </c>
      <c r="R81" s="35" t="s">
        <v>26</v>
      </c>
      <c r="Y81" s="4" t="s">
        <v>6</v>
      </c>
      <c r="Z81" s="4">
        <v>33396</v>
      </c>
      <c r="AA81" s="4"/>
    </row>
    <row r="82" spans="1:27" ht="15">
      <c r="A82" s="29">
        <v>28635</v>
      </c>
      <c r="B82" s="29" t="s">
        <v>21</v>
      </c>
      <c r="C82" s="29" t="s">
        <v>27</v>
      </c>
      <c r="D82" s="28" t="str">
        <f ca="1">IFERROR(__xludf.DUMMYFUNCTION("REGEXEXTRACT(C82, ""TRiP\.([^}]*)"")"),"JF03050")</f>
        <v>JF03050</v>
      </c>
      <c r="E82" s="28" t="e">
        <f t="shared" ca="1" si="1"/>
        <v>#NAME?</v>
      </c>
      <c r="F82" s="28" t="s">
        <v>16</v>
      </c>
      <c r="G82" s="31" t="e">
        <f t="shared" ca="1" si="0"/>
        <v>#NAME?</v>
      </c>
      <c r="H82" s="17"/>
      <c r="I82" s="17"/>
      <c r="J82" s="17"/>
      <c r="K82" s="17"/>
      <c r="L82" s="17"/>
      <c r="M82" s="17"/>
      <c r="N82" s="32" t="s">
        <v>17</v>
      </c>
      <c r="O82" s="33" t="s">
        <v>24</v>
      </c>
      <c r="P82" s="34"/>
      <c r="Q82" s="33" t="s">
        <v>28</v>
      </c>
      <c r="R82" s="35" t="s">
        <v>29</v>
      </c>
      <c r="Y82" s="4" t="s">
        <v>6</v>
      </c>
      <c r="Z82" s="4">
        <v>33601</v>
      </c>
      <c r="AA82" s="4"/>
    </row>
    <row r="83" spans="1:27" ht="15">
      <c r="A83" s="29">
        <v>36132</v>
      </c>
      <c r="B83" s="29" t="s">
        <v>30</v>
      </c>
      <c r="C83" s="29" t="s">
        <v>31</v>
      </c>
      <c r="D83" s="28" t="str">
        <f ca="1">IFERROR(__xludf.DUMMYFUNCTION("REGEXEXTRACT(C83, ""TRiP\.([^}]*)"")"),"JF03500")</f>
        <v>JF03500</v>
      </c>
      <c r="E83" s="28" t="e">
        <f t="shared" ca="1" si="1"/>
        <v>#NAME?</v>
      </c>
      <c r="F83" s="28" t="s">
        <v>16</v>
      </c>
      <c r="G83" s="31" t="e">
        <f t="shared" ca="1" si="0"/>
        <v>#NAME?</v>
      </c>
      <c r="H83" s="17"/>
      <c r="I83" s="17"/>
      <c r="J83" s="17"/>
      <c r="K83" s="17"/>
      <c r="L83" s="17"/>
      <c r="M83" s="17"/>
      <c r="N83" s="36" t="s">
        <v>32</v>
      </c>
      <c r="O83" s="33" t="s">
        <v>24</v>
      </c>
      <c r="P83" s="34"/>
      <c r="Q83" s="33" t="s">
        <v>28</v>
      </c>
      <c r="R83" s="35" t="s">
        <v>33</v>
      </c>
      <c r="Y83" s="4" t="s">
        <v>6</v>
      </c>
      <c r="Z83" s="4">
        <v>33601</v>
      </c>
      <c r="AA83" s="4"/>
    </row>
    <row r="84" spans="1:27" ht="15">
      <c r="A84" s="29">
        <v>56022</v>
      </c>
      <c r="B84" s="29" t="s">
        <v>34</v>
      </c>
      <c r="C84" s="29" t="s">
        <v>35</v>
      </c>
      <c r="D84" s="28" t="str">
        <f ca="1">IFERROR(__xludf.DUMMYFUNCTION("REGEXEXTRACT(C84, ""TRiP\.([^}]*)"")"),"HMC04318")</f>
        <v>HMC04318</v>
      </c>
      <c r="E84" s="28" t="s">
        <v>8</v>
      </c>
      <c r="F84" s="28" t="s">
        <v>36</v>
      </c>
      <c r="G84" s="31" t="e">
        <f t="shared" ca="1" si="0"/>
        <v>#NAME?</v>
      </c>
      <c r="H84" s="17"/>
      <c r="I84" s="17"/>
      <c r="J84" s="17"/>
      <c r="K84" s="17"/>
      <c r="L84" s="17"/>
      <c r="M84" s="17"/>
      <c r="N84" s="32" t="s">
        <v>37</v>
      </c>
      <c r="O84" s="33" t="s">
        <v>24</v>
      </c>
      <c r="P84" s="34"/>
      <c r="Q84" s="33" t="s">
        <v>38</v>
      </c>
      <c r="R84" s="35" t="s">
        <v>39</v>
      </c>
      <c r="Y84" s="4" t="s">
        <v>6</v>
      </c>
      <c r="Z84" s="4">
        <v>33601</v>
      </c>
      <c r="AA84" s="4"/>
    </row>
    <row r="85" spans="1:27" ht="15">
      <c r="A85" s="29">
        <v>43545</v>
      </c>
      <c r="B85" s="29" t="s">
        <v>13</v>
      </c>
      <c r="C85" s="29" t="s">
        <v>40</v>
      </c>
      <c r="D85" s="28" t="str">
        <f ca="1">IFERROR(__xludf.DUMMYFUNCTION("REGEXEXTRACT(C85, ""TRiP\.([^}]*)"")"),"HMS02666")</f>
        <v>HMS02666</v>
      </c>
      <c r="E85" s="28" t="s">
        <v>8</v>
      </c>
      <c r="F85" s="28" t="s">
        <v>36</v>
      </c>
      <c r="G85" s="31" t="e">
        <f t="shared" ca="1" si="0"/>
        <v>#NAME?</v>
      </c>
      <c r="H85" s="17"/>
      <c r="I85" s="17"/>
      <c r="J85" s="17"/>
      <c r="K85" s="17"/>
      <c r="L85" s="17"/>
      <c r="M85" s="17"/>
      <c r="N85" s="36" t="s">
        <v>17</v>
      </c>
      <c r="O85" s="33" t="s">
        <v>24</v>
      </c>
      <c r="P85" s="34"/>
      <c r="Q85" s="33" t="s">
        <v>41</v>
      </c>
      <c r="R85" s="35" t="s">
        <v>42</v>
      </c>
      <c r="Y85" s="4" t="s">
        <v>6</v>
      </c>
      <c r="Z85" s="4">
        <v>33601</v>
      </c>
      <c r="AA85" s="4"/>
    </row>
    <row r="86" spans="1:27" ht="15">
      <c r="A86" s="29">
        <v>64652</v>
      </c>
      <c r="B86" s="29" t="s">
        <v>43</v>
      </c>
      <c r="C86" s="29" t="s">
        <v>44</v>
      </c>
      <c r="D86" s="28" t="str">
        <f ca="1">IFERROR(__xludf.DUMMYFUNCTION("REGEXEXTRACT(C86, ""TRiP\.([^}]*)"")"),"HMC05687")</f>
        <v>HMC05687</v>
      </c>
      <c r="E86" s="28" t="s">
        <v>8</v>
      </c>
      <c r="F86" s="28" t="s">
        <v>36</v>
      </c>
      <c r="G86" s="31" t="e">
        <f t="shared" ca="1" si="0"/>
        <v>#NAME?</v>
      </c>
      <c r="H86" s="17"/>
      <c r="I86" s="17"/>
      <c r="J86" s="17"/>
      <c r="K86" s="17"/>
      <c r="L86" s="17"/>
      <c r="M86" s="17"/>
      <c r="N86" s="37" t="s">
        <v>23</v>
      </c>
      <c r="O86" s="38" t="s">
        <v>45</v>
      </c>
      <c r="P86" s="34"/>
      <c r="Q86" s="39" t="s">
        <v>46</v>
      </c>
      <c r="R86" s="35" t="s">
        <v>47</v>
      </c>
      <c r="Y86" s="4" t="s">
        <v>6</v>
      </c>
      <c r="Z86" s="4">
        <v>33602</v>
      </c>
      <c r="AA86" s="4"/>
    </row>
    <row r="87" spans="1:27" ht="15">
      <c r="A87" s="29">
        <v>36742</v>
      </c>
      <c r="B87" s="30" t="s">
        <v>48</v>
      </c>
      <c r="C87" s="29" t="s">
        <v>49</v>
      </c>
      <c r="D87" s="28" t="str">
        <f ca="1">IFERROR(__xludf.DUMMYFUNCTION("REGEXEXTRACT(C87, ""TRiP\.([^}]*)"")"),"HMS03002")</f>
        <v>HMS03002</v>
      </c>
      <c r="E87" s="28" t="e">
        <f t="shared" ref="E87:E88" ca="1" si="2">_xludf.XLOOKUP(C87,$K$80:$K$111,$H$80:$H$111, )</f>
        <v>#NAME?</v>
      </c>
      <c r="F87" s="28" t="s">
        <v>36</v>
      </c>
      <c r="G87" s="31" t="e">
        <f t="shared" ca="1" si="0"/>
        <v>#NAME?</v>
      </c>
      <c r="H87" s="17"/>
      <c r="I87" s="17"/>
      <c r="J87" s="17"/>
      <c r="K87" s="17"/>
      <c r="L87" s="17"/>
      <c r="M87" s="17"/>
      <c r="N87" s="36" t="s">
        <v>23</v>
      </c>
      <c r="O87" s="38" t="s">
        <v>45</v>
      </c>
      <c r="P87" s="34"/>
      <c r="Q87" s="39" t="s">
        <v>46</v>
      </c>
      <c r="R87" s="40" t="s">
        <v>50</v>
      </c>
      <c r="Y87" s="4" t="s">
        <v>6</v>
      </c>
      <c r="Z87" s="4">
        <v>33602</v>
      </c>
      <c r="AA87" s="4"/>
    </row>
    <row r="88" spans="1:27" ht="15">
      <c r="A88" s="29">
        <v>38519</v>
      </c>
      <c r="B88" s="29" t="s">
        <v>51</v>
      </c>
      <c r="C88" s="29" t="s">
        <v>52</v>
      </c>
      <c r="D88" s="28" t="str">
        <f ca="1">IFERROR(__xludf.DUMMYFUNCTION("REGEXEXTRACT(C88, ""TRiP\.([^}]*)"")"),"HMS01666")</f>
        <v>HMS01666</v>
      </c>
      <c r="E88" s="28" t="e">
        <f t="shared" ca="1" si="2"/>
        <v>#NAME?</v>
      </c>
      <c r="F88" s="28" t="s">
        <v>16</v>
      </c>
      <c r="G88" s="31" t="e">
        <f t="shared" ca="1" si="0"/>
        <v>#NAME?</v>
      </c>
      <c r="H88" s="17"/>
      <c r="I88" s="17"/>
      <c r="J88" s="17"/>
      <c r="K88" s="17"/>
      <c r="L88" s="17"/>
      <c r="M88" s="17"/>
      <c r="N88" s="37" t="s">
        <v>23</v>
      </c>
      <c r="O88" s="33" t="s">
        <v>53</v>
      </c>
      <c r="P88" s="34"/>
      <c r="Q88" s="33" t="s">
        <v>54</v>
      </c>
      <c r="R88" s="40" t="s">
        <v>55</v>
      </c>
      <c r="Y88" s="4" t="s">
        <v>6</v>
      </c>
      <c r="Z88" s="4">
        <v>33602</v>
      </c>
      <c r="AA88" s="4"/>
    </row>
    <row r="89" spans="1:27" ht="15">
      <c r="A89" s="29">
        <v>41644</v>
      </c>
      <c r="B89" s="29" t="s">
        <v>56</v>
      </c>
      <c r="C89" s="29" t="s">
        <v>57</v>
      </c>
      <c r="D89" s="28" t="str">
        <f ca="1">IFERROR(__xludf.DUMMYFUNCTION("REGEXEXTRACT(C89, ""TRiP\.([^}]*)"")"),"GL01226")</f>
        <v>GL01226</v>
      </c>
      <c r="E89" s="28" t="s">
        <v>15</v>
      </c>
      <c r="F89" s="28" t="s">
        <v>16</v>
      </c>
      <c r="G89" s="31" t="e">
        <f t="shared" ca="1" si="0"/>
        <v>#NAME?</v>
      </c>
      <c r="H89" s="17"/>
      <c r="I89" s="17"/>
      <c r="J89" s="17"/>
      <c r="K89" s="17"/>
      <c r="L89" s="17"/>
      <c r="M89" s="17"/>
      <c r="N89" s="41"/>
      <c r="O89" s="34"/>
      <c r="P89" s="34"/>
      <c r="Q89" s="34"/>
      <c r="R89" s="34"/>
      <c r="Y89" s="4" t="s">
        <v>6</v>
      </c>
      <c r="Z89" s="4">
        <v>33602</v>
      </c>
      <c r="AA89" s="4"/>
    </row>
    <row r="90" spans="1:27" ht="15">
      <c r="A90" s="29">
        <v>27030</v>
      </c>
      <c r="B90" s="29" t="s">
        <v>58</v>
      </c>
      <c r="C90" s="29" t="s">
        <v>59</v>
      </c>
      <c r="D90" s="28" t="str">
        <f ca="1">IFERROR(__xludf.DUMMYFUNCTION("REGEXEXTRACT(C90, ""TRiP\.([^}]*)"")"),"JF02356")</f>
        <v>JF02356</v>
      </c>
      <c r="E90" s="28" t="s">
        <v>8</v>
      </c>
      <c r="F90" s="28" t="s">
        <v>16</v>
      </c>
      <c r="G90" s="31" t="e">
        <f t="shared" ca="1" si="0"/>
        <v>#NAME?</v>
      </c>
      <c r="H90" s="17"/>
      <c r="I90" s="17"/>
      <c r="J90" s="17"/>
      <c r="K90" s="17"/>
      <c r="L90" s="17"/>
      <c r="M90" s="17"/>
      <c r="N90" s="42"/>
      <c r="O90" s="39" t="s">
        <v>60</v>
      </c>
      <c r="P90" s="34"/>
      <c r="Q90" s="39" t="s">
        <v>60</v>
      </c>
      <c r="R90" s="34"/>
      <c r="Y90" s="4" t="s">
        <v>6</v>
      </c>
      <c r="Z90" s="4">
        <v>34626</v>
      </c>
      <c r="AA90" s="4"/>
    </row>
    <row r="91" spans="1:27" ht="15">
      <c r="A91" s="29">
        <v>77154</v>
      </c>
      <c r="B91" s="30" t="s">
        <v>61</v>
      </c>
      <c r="C91" s="29" t="s">
        <v>62</v>
      </c>
      <c r="D91" s="28" t="str">
        <f ca="1">IFERROR(__xludf.DUMMYFUNCTION("REGEXEXTRACT(C91, ""TRiP\.([^}]*)"")"),"HMS05920")</f>
        <v>HMS05920</v>
      </c>
      <c r="E91" s="28" t="s">
        <v>15</v>
      </c>
      <c r="F91" s="28" t="s">
        <v>36</v>
      </c>
      <c r="G91" s="31" t="e">
        <f t="shared" ca="1" si="0"/>
        <v>#NAME?</v>
      </c>
      <c r="H91" s="17"/>
      <c r="I91" s="17"/>
      <c r="J91" s="17"/>
      <c r="K91" s="17"/>
      <c r="L91" s="17"/>
      <c r="M91" s="17"/>
      <c r="N91" s="41"/>
      <c r="O91" s="34"/>
      <c r="P91" s="34"/>
      <c r="Q91" s="34"/>
      <c r="R91" s="34"/>
      <c r="Y91" s="4" t="s">
        <v>6</v>
      </c>
      <c r="Z91" s="4">
        <v>34626</v>
      </c>
      <c r="AA91" s="4"/>
    </row>
    <row r="92" spans="1:27" ht="15">
      <c r="A92" s="29">
        <v>25866</v>
      </c>
      <c r="B92" s="30" t="s">
        <v>63</v>
      </c>
      <c r="C92" s="29" t="s">
        <v>64</v>
      </c>
      <c r="D92" s="28" t="str">
        <f ca="1">IFERROR(__xludf.DUMMYFUNCTION("REGEXEXTRACT(C92, ""TRiP\.([^}]*)"")"),"JF01905")</f>
        <v>JF01905</v>
      </c>
      <c r="E92" s="28" t="s">
        <v>15</v>
      </c>
      <c r="F92" s="28" t="s">
        <v>16</v>
      </c>
      <c r="G92" s="31" t="e">
        <f t="shared" ca="1" si="0"/>
        <v>#NAME?</v>
      </c>
      <c r="H92" s="17"/>
      <c r="I92" s="17"/>
      <c r="J92" s="17"/>
      <c r="K92" s="17"/>
      <c r="L92" s="17"/>
      <c r="M92" s="17"/>
      <c r="N92" s="42"/>
      <c r="O92" s="33" t="s">
        <v>65</v>
      </c>
      <c r="P92" s="34"/>
      <c r="Q92" s="33" t="s">
        <v>66</v>
      </c>
      <c r="R92" s="34"/>
      <c r="Y92" s="4" t="s">
        <v>6</v>
      </c>
      <c r="Z92" s="4">
        <v>34626</v>
      </c>
      <c r="AA92" s="4"/>
    </row>
    <row r="93" spans="1:27" ht="15">
      <c r="A93" s="29">
        <v>55683</v>
      </c>
      <c r="B93" s="29" t="s">
        <v>67</v>
      </c>
      <c r="C93" s="29" t="s">
        <v>68</v>
      </c>
      <c r="D93" s="28" t="str">
        <f ca="1">IFERROR(__xludf.DUMMYFUNCTION("REGEXEXTRACT(C93, ""TRiP\.([^}]*)"")"),"HMC03868")</f>
        <v>HMC03868</v>
      </c>
      <c r="E93" s="28" t="e">
        <f t="shared" ref="E93:E97" ca="1" si="3">_xludf.XLOOKUP(C93,$K$80:$K$111,$H$80:$H$111, )</f>
        <v>#NAME?</v>
      </c>
      <c r="F93" s="28" t="s">
        <v>36</v>
      </c>
      <c r="G93" s="31" t="e">
        <f t="shared" ca="1" si="0"/>
        <v>#NAME?</v>
      </c>
      <c r="H93" s="17"/>
      <c r="I93" s="17"/>
      <c r="J93" s="17"/>
      <c r="K93" s="17"/>
      <c r="L93" s="17"/>
      <c r="M93" s="17"/>
      <c r="N93" s="41"/>
      <c r="O93" s="33" t="s">
        <v>65</v>
      </c>
      <c r="P93" s="34"/>
      <c r="Q93" s="33" t="s">
        <v>66</v>
      </c>
      <c r="R93" s="34"/>
      <c r="Y93" s="4" t="s">
        <v>6</v>
      </c>
      <c r="Z93" s="4">
        <v>34626</v>
      </c>
      <c r="AA93" s="4"/>
    </row>
    <row r="94" spans="1:27" ht="15">
      <c r="A94" s="29">
        <v>35227</v>
      </c>
      <c r="B94" s="29" t="s">
        <v>48</v>
      </c>
      <c r="C94" s="29" t="s">
        <v>69</v>
      </c>
      <c r="D94" s="28" t="str">
        <f ca="1">IFERROR(__xludf.DUMMYFUNCTION("REGEXEXTRACT(C94, ""TRiP\.([^}]*)"")"),"GL00111")</f>
        <v>GL00111</v>
      </c>
      <c r="E94" s="28" t="e">
        <f t="shared" ca="1" si="3"/>
        <v>#NAME?</v>
      </c>
      <c r="F94" s="28" t="s">
        <v>16</v>
      </c>
      <c r="G94" s="31" t="e">
        <f t="shared" ca="1" si="0"/>
        <v>#NAME?</v>
      </c>
      <c r="H94" s="17"/>
      <c r="I94" s="17"/>
      <c r="J94" s="17"/>
      <c r="K94" s="17" t="s">
        <v>70</v>
      </c>
      <c r="L94" s="17" t="s">
        <v>71</v>
      </c>
      <c r="M94" s="17"/>
      <c r="N94" s="32" t="s">
        <v>23</v>
      </c>
      <c r="O94" s="33" t="s">
        <v>72</v>
      </c>
      <c r="P94" s="34"/>
      <c r="Q94" s="33" t="s">
        <v>73</v>
      </c>
      <c r="R94" s="34"/>
      <c r="Y94" s="4" t="s">
        <v>6</v>
      </c>
      <c r="Z94" s="4">
        <v>34626</v>
      </c>
      <c r="AA94" s="4"/>
    </row>
    <row r="95" spans="1:27" ht="15">
      <c r="A95" s="29">
        <v>60464</v>
      </c>
      <c r="B95" s="29" t="s">
        <v>74</v>
      </c>
      <c r="C95" s="29" t="s">
        <v>75</v>
      </c>
      <c r="D95" s="28" t="str">
        <f ca="1">IFERROR(__xludf.DUMMYFUNCTION("REGEXEXTRACT(C95, ""TRiP\.([^}]*)"")"),"HMJ22833")</f>
        <v>HMJ22833</v>
      </c>
      <c r="E95" s="28" t="e">
        <f t="shared" ca="1" si="3"/>
        <v>#NAME?</v>
      </c>
      <c r="F95" s="28" t="s">
        <v>36</v>
      </c>
      <c r="G95" s="31" t="e">
        <f t="shared" ca="1" si="0"/>
        <v>#NAME?</v>
      </c>
      <c r="H95" s="17"/>
      <c r="I95" s="17"/>
      <c r="J95" s="17"/>
      <c r="K95" s="17"/>
      <c r="L95" s="17"/>
      <c r="M95" s="17"/>
      <c r="N95" s="41"/>
      <c r="O95" s="34"/>
      <c r="P95" s="34"/>
      <c r="Q95" s="34"/>
      <c r="R95" s="40" t="s">
        <v>76</v>
      </c>
      <c r="Y95" s="4" t="s">
        <v>6</v>
      </c>
      <c r="Z95" s="4">
        <v>34879</v>
      </c>
      <c r="AA95" s="4"/>
    </row>
    <row r="96" spans="1:27" ht="15">
      <c r="A96" s="29">
        <v>67158</v>
      </c>
      <c r="B96" s="30" t="s">
        <v>77</v>
      </c>
      <c r="C96" s="29" t="s">
        <v>78</v>
      </c>
      <c r="D96" s="28" t="str">
        <f ca="1">IFERROR(__xludf.DUMMYFUNCTION("REGEXEXTRACT(C96, ""TRiP\.([^}]*)"")"),"#N/A")</f>
        <v>#N/A</v>
      </c>
      <c r="E96" s="28" t="e">
        <f t="shared" ca="1" si="3"/>
        <v>#NAME?</v>
      </c>
      <c r="F96" s="28" t="s">
        <v>79</v>
      </c>
      <c r="G96" s="31" t="e">
        <f t="shared" ca="1" si="0"/>
        <v>#NAME?</v>
      </c>
      <c r="H96" s="17"/>
      <c r="I96" s="17"/>
      <c r="J96" s="17"/>
      <c r="K96" s="17"/>
      <c r="L96" s="17"/>
      <c r="M96" s="17"/>
      <c r="N96" s="32" t="s">
        <v>23</v>
      </c>
      <c r="O96" s="34"/>
      <c r="P96" s="34"/>
      <c r="Q96" s="34"/>
      <c r="R96" s="40" t="s">
        <v>80</v>
      </c>
      <c r="Y96" s="4" t="s">
        <v>6</v>
      </c>
      <c r="Z96" s="4">
        <v>34879</v>
      </c>
      <c r="AA96" s="4"/>
    </row>
    <row r="97" spans="1:27" ht="15">
      <c r="A97" s="29">
        <v>31157</v>
      </c>
      <c r="B97" s="30" t="s">
        <v>77</v>
      </c>
      <c r="C97" s="29" t="s">
        <v>81</v>
      </c>
      <c r="D97" s="28" t="str">
        <f ca="1">IFERROR(__xludf.DUMMYFUNCTION("REGEXEXTRACT(C97, ""TRiP\.([^}]*)"")"),"JF01650")</f>
        <v>JF01650</v>
      </c>
      <c r="E97" s="28" t="e">
        <f t="shared" ca="1" si="3"/>
        <v>#NAME?</v>
      </c>
      <c r="F97" s="28" t="s">
        <v>16</v>
      </c>
      <c r="G97" s="31" t="e">
        <f t="shared" ca="1" si="0"/>
        <v>#NAME?</v>
      </c>
      <c r="H97" s="17"/>
      <c r="I97" s="17"/>
      <c r="J97" s="17"/>
      <c r="K97" s="17"/>
      <c r="L97" s="17"/>
      <c r="M97" s="17"/>
      <c r="N97" s="41"/>
      <c r="O97" s="33" t="s">
        <v>82</v>
      </c>
      <c r="P97" s="34"/>
      <c r="Q97" s="34"/>
      <c r="R97" s="34"/>
      <c r="Y97" s="4" t="s">
        <v>6</v>
      </c>
      <c r="Z97" s="4">
        <v>34879</v>
      </c>
      <c r="AA97" s="4"/>
    </row>
    <row r="98" spans="1:27" ht="15">
      <c r="A98" s="29">
        <v>67772</v>
      </c>
      <c r="B98" s="30" t="s">
        <v>83</v>
      </c>
      <c r="C98" s="29" t="s">
        <v>84</v>
      </c>
      <c r="D98" s="28" t="str">
        <f ca="1">IFERROR(__xludf.DUMMYFUNCTION("REGEXEXTRACT(C98, ""TRiP\.([^}]*)"")"),"HMS05666")</f>
        <v>HMS05666</v>
      </c>
      <c r="E98" s="28" t="s">
        <v>15</v>
      </c>
      <c r="F98" s="28" t="s">
        <v>36</v>
      </c>
      <c r="G98" s="31" t="e">
        <f t="shared" ca="1" si="0"/>
        <v>#NAME?</v>
      </c>
      <c r="H98" s="17"/>
      <c r="I98" s="17"/>
      <c r="J98" s="17"/>
      <c r="K98" s="17"/>
      <c r="L98" s="17"/>
      <c r="M98" s="17"/>
      <c r="N98" s="37" t="s">
        <v>23</v>
      </c>
      <c r="O98" s="33" t="s">
        <v>85</v>
      </c>
      <c r="P98" s="34"/>
      <c r="Q98" s="33" t="s">
        <v>86</v>
      </c>
      <c r="R98" s="40" t="s">
        <v>87</v>
      </c>
      <c r="Y98" s="4" t="s">
        <v>6</v>
      </c>
      <c r="Z98" s="4">
        <v>35134</v>
      </c>
      <c r="AA98" s="4"/>
    </row>
    <row r="99" spans="1:27" ht="15">
      <c r="D99" s="28"/>
      <c r="E99" s="28" t="e">
        <f t="shared" ref="E99:E131" ca="1" si="4">_xludf.XLOOKUP(C99,$K$80:$K$111,$H$80:$H$111, )</f>
        <v>#NAME?</v>
      </c>
      <c r="F99" s="28"/>
      <c r="G99" s="31" t="e">
        <f t="shared" ca="1" si="0"/>
        <v>#NAME?</v>
      </c>
      <c r="H99" s="17"/>
      <c r="I99" s="17"/>
      <c r="J99" s="17"/>
      <c r="K99" s="17"/>
      <c r="L99" s="17"/>
      <c r="M99" s="17"/>
      <c r="N99" s="41"/>
      <c r="O99" s="33" t="s">
        <v>88</v>
      </c>
      <c r="P99" s="34"/>
      <c r="Q99" s="33" t="s">
        <v>89</v>
      </c>
      <c r="R99" s="40" t="s">
        <v>90</v>
      </c>
      <c r="Y99" s="4" t="s">
        <v>6</v>
      </c>
      <c r="Z99" s="4">
        <v>35134</v>
      </c>
      <c r="AA99" s="4"/>
    </row>
    <row r="100" spans="1:27" ht="15">
      <c r="C100" s="43" t="s">
        <v>91</v>
      </c>
      <c r="D100" s="28" t="str">
        <f ca="1">IFERROR(__xludf.DUMMYFUNCTION("REGEXEXTRACT(C100, ""TRiP\.([^}]*)"")"),"HMC03576")</f>
        <v>HMC03576</v>
      </c>
      <c r="E100" s="28" t="e">
        <f t="shared" ca="1" si="4"/>
        <v>#NAME?</v>
      </c>
      <c r="F100" s="28"/>
      <c r="G100" s="31" t="e">
        <f t="shared" ca="1" si="0"/>
        <v>#NAME?</v>
      </c>
      <c r="H100" s="17"/>
      <c r="I100" s="17"/>
      <c r="J100" s="17"/>
      <c r="K100" s="17"/>
      <c r="L100" s="17"/>
      <c r="M100" s="17"/>
      <c r="N100" s="42"/>
      <c r="O100" s="33" t="s">
        <v>92</v>
      </c>
      <c r="P100" s="34"/>
      <c r="Q100" s="35" t="s">
        <v>93</v>
      </c>
      <c r="R100" s="40" t="s">
        <v>94</v>
      </c>
      <c r="Y100" s="4" t="s">
        <v>6</v>
      </c>
      <c r="Z100" s="4">
        <v>35134</v>
      </c>
      <c r="AA100" s="4"/>
    </row>
    <row r="101" spans="1:27" ht="15">
      <c r="C101" s="44" t="s">
        <v>95</v>
      </c>
      <c r="D101" s="28" t="str">
        <f ca="1">IFERROR(__xludf.DUMMYFUNCTION("REGEXEXTRACT(C101, ""TRiP\.([^}]*)"")"),"#N/A")</f>
        <v>#N/A</v>
      </c>
      <c r="E101" s="28" t="e">
        <f t="shared" ca="1" si="4"/>
        <v>#NAME?</v>
      </c>
      <c r="F101" s="28"/>
      <c r="G101" s="31" t="e">
        <f t="shared" ca="1" si="0"/>
        <v>#NAME?</v>
      </c>
      <c r="H101" s="17"/>
      <c r="I101" s="17"/>
      <c r="J101" s="17"/>
      <c r="K101" s="17"/>
      <c r="L101" s="17"/>
      <c r="M101" s="17"/>
      <c r="N101" s="41"/>
      <c r="O101" s="33" t="s">
        <v>96</v>
      </c>
      <c r="P101" s="33" t="s">
        <v>97</v>
      </c>
      <c r="Q101" s="35" t="s">
        <v>98</v>
      </c>
      <c r="R101" s="40" t="s">
        <v>99</v>
      </c>
      <c r="Y101" s="4" t="s">
        <v>6</v>
      </c>
      <c r="Z101" s="4">
        <v>35134</v>
      </c>
      <c r="AA101" s="4"/>
    </row>
    <row r="102" spans="1:27" ht="15">
      <c r="C102" s="43" t="s">
        <v>100</v>
      </c>
      <c r="D102" s="28" t="str">
        <f ca="1">IFERROR(__xludf.DUMMYFUNCTION("REGEXEXTRACT(C102, ""TRiP\.([^}]*)"")"),"HMS00349")</f>
        <v>HMS00349</v>
      </c>
      <c r="E102" s="28" t="e">
        <f t="shared" ca="1" si="4"/>
        <v>#NAME?</v>
      </c>
      <c r="F102" s="28"/>
      <c r="G102" s="31" t="e">
        <f t="shared" ca="1" si="0"/>
        <v>#NAME?</v>
      </c>
      <c r="H102" s="17"/>
      <c r="I102" s="17"/>
      <c r="J102" s="17"/>
      <c r="K102" s="17"/>
      <c r="L102" s="17"/>
      <c r="M102" s="17"/>
      <c r="N102" s="32" t="s">
        <v>17</v>
      </c>
      <c r="O102" s="33" t="s">
        <v>101</v>
      </c>
      <c r="P102" s="34"/>
      <c r="Q102" s="34"/>
      <c r="R102" s="35" t="s">
        <v>102</v>
      </c>
      <c r="Y102" s="4" t="s">
        <v>6</v>
      </c>
      <c r="Z102" s="4">
        <v>35142</v>
      </c>
      <c r="AA102" s="4"/>
    </row>
    <row r="103" spans="1:27" ht="15">
      <c r="C103" s="44" t="s">
        <v>103</v>
      </c>
      <c r="D103" s="28" t="str">
        <f ca="1">IFERROR(__xludf.DUMMYFUNCTION("REGEXEXTRACT(C103, ""TRiP\.([^}]*)"")"),"#N/A")</f>
        <v>#N/A</v>
      </c>
      <c r="E103" s="28" t="e">
        <f t="shared" ca="1" si="4"/>
        <v>#NAME?</v>
      </c>
      <c r="F103" s="28"/>
      <c r="G103" s="31" t="e">
        <f t="shared" ca="1" si="0"/>
        <v>#NAME?</v>
      </c>
      <c r="H103" s="17"/>
      <c r="I103" s="17"/>
      <c r="J103" s="17"/>
      <c r="K103" s="17"/>
      <c r="L103" s="17"/>
      <c r="M103" s="17"/>
      <c r="N103" s="36" t="s">
        <v>17</v>
      </c>
      <c r="O103" s="33" t="s">
        <v>104</v>
      </c>
      <c r="P103" s="33" t="s">
        <v>105</v>
      </c>
      <c r="Q103" s="33" t="s">
        <v>106</v>
      </c>
      <c r="R103" s="35" t="s">
        <v>107</v>
      </c>
      <c r="Y103" s="4" t="s">
        <v>6</v>
      </c>
      <c r="Z103" s="4">
        <v>35221</v>
      </c>
      <c r="AA103" s="4"/>
    </row>
    <row r="104" spans="1:27" ht="15">
      <c r="C104" s="43" t="s">
        <v>108</v>
      </c>
      <c r="D104" s="28" t="str">
        <f ca="1">IFERROR(__xludf.DUMMYFUNCTION("REGEXEXTRACT(C104, ""TRiP\.([^}]*)"")"),"HMC03883")</f>
        <v>HMC03883</v>
      </c>
      <c r="E104" s="28" t="e">
        <f t="shared" ca="1" si="4"/>
        <v>#NAME?</v>
      </c>
      <c r="F104" s="28"/>
      <c r="G104" s="31" t="e">
        <f t="shared" ca="1" si="0"/>
        <v>#NAME?</v>
      </c>
      <c r="H104" s="17"/>
      <c r="I104" s="17"/>
      <c r="J104" s="17"/>
      <c r="K104" s="17"/>
      <c r="L104" s="17"/>
      <c r="M104" s="17"/>
      <c r="N104" s="42"/>
      <c r="O104" s="33" t="s">
        <v>104</v>
      </c>
      <c r="P104" s="33" t="s">
        <v>105</v>
      </c>
      <c r="Q104" s="33" t="s">
        <v>109</v>
      </c>
      <c r="R104" s="35" t="s">
        <v>110</v>
      </c>
      <c r="Y104" s="4" t="s">
        <v>6</v>
      </c>
      <c r="Z104" s="4">
        <v>35221</v>
      </c>
      <c r="AA104" s="4"/>
    </row>
    <row r="105" spans="1:27" ht="15">
      <c r="C105" s="44" t="s">
        <v>69</v>
      </c>
      <c r="D105" s="28" t="str">
        <f ca="1">IFERROR(__xludf.DUMMYFUNCTION("REGEXEXTRACT(C105, ""TRiP\.([^}]*)"")"),"GL00111")</f>
        <v>GL00111</v>
      </c>
      <c r="E105" s="28" t="e">
        <f t="shared" ca="1" si="4"/>
        <v>#NAME?</v>
      </c>
      <c r="F105" s="28"/>
      <c r="G105" s="31" t="e">
        <f t="shared" ca="1" si="0"/>
        <v>#NAME?</v>
      </c>
      <c r="H105" s="17"/>
      <c r="I105" s="17"/>
      <c r="J105" s="17"/>
      <c r="K105" s="17"/>
      <c r="L105" s="17"/>
      <c r="M105" s="17"/>
      <c r="N105" s="41"/>
      <c r="O105" s="33" t="s">
        <v>104</v>
      </c>
      <c r="P105" s="33" t="s">
        <v>105</v>
      </c>
      <c r="Q105" s="33" t="s">
        <v>106</v>
      </c>
      <c r="R105" s="35" t="s">
        <v>111</v>
      </c>
      <c r="Y105" s="4" t="s">
        <v>6</v>
      </c>
      <c r="Z105" s="4">
        <v>35364</v>
      </c>
      <c r="AA105" s="4"/>
    </row>
    <row r="106" spans="1:27" ht="15">
      <c r="C106" s="43" t="s">
        <v>27</v>
      </c>
      <c r="D106" s="28" t="str">
        <f ca="1">IFERROR(__xludf.DUMMYFUNCTION("REGEXEXTRACT(C106, ""TRiP\.([^}]*)"")"),"JF03050")</f>
        <v>JF03050</v>
      </c>
      <c r="E106" s="28" t="e">
        <f t="shared" ca="1" si="4"/>
        <v>#NAME?</v>
      </c>
      <c r="F106" s="28"/>
      <c r="G106" s="31" t="e">
        <f t="shared" ca="1" si="0"/>
        <v>#NAME?</v>
      </c>
      <c r="H106" s="17"/>
      <c r="I106" s="17"/>
      <c r="J106" s="17"/>
      <c r="K106" s="17"/>
      <c r="L106" s="17"/>
      <c r="M106" s="17"/>
      <c r="N106" s="42"/>
      <c r="O106" s="33" t="s">
        <v>104</v>
      </c>
      <c r="P106" s="33" t="s">
        <v>105</v>
      </c>
      <c r="Q106" s="33" t="s">
        <v>112</v>
      </c>
      <c r="R106" s="40" t="s">
        <v>113</v>
      </c>
      <c r="Y106" s="4" t="s">
        <v>6</v>
      </c>
      <c r="Z106" s="4">
        <v>35364</v>
      </c>
      <c r="AA106" s="4"/>
    </row>
    <row r="107" spans="1:27" ht="16">
      <c r="C107" s="44" t="s">
        <v>22</v>
      </c>
      <c r="D107" s="28" t="str">
        <f ca="1">IFERROR(__xludf.DUMMYFUNCTION("REGEXEXTRACT(C107, ""TRiP\.([^}]*)"")"),"GL00009")</f>
        <v>GL00009</v>
      </c>
      <c r="E107" s="28" t="e">
        <f t="shared" ca="1" si="4"/>
        <v>#NAME?</v>
      </c>
      <c r="F107" s="28"/>
      <c r="G107" s="31" t="e">
        <f t="shared" ca="1" si="0"/>
        <v>#NAME?</v>
      </c>
      <c r="H107" s="17"/>
      <c r="I107" s="17"/>
      <c r="J107" s="17"/>
      <c r="K107" s="17"/>
      <c r="L107" s="17"/>
      <c r="M107" s="17"/>
      <c r="N107" s="41"/>
      <c r="O107" s="33" t="s">
        <v>104</v>
      </c>
      <c r="P107" s="33" t="s">
        <v>105</v>
      </c>
      <c r="Q107" s="45" t="s">
        <v>109</v>
      </c>
      <c r="R107" s="40" t="s">
        <v>114</v>
      </c>
      <c r="Y107" s="4" t="s">
        <v>6</v>
      </c>
      <c r="Z107" s="4">
        <v>36625</v>
      </c>
      <c r="AA107" s="4"/>
    </row>
    <row r="108" spans="1:27" ht="15">
      <c r="C108" s="43" t="s">
        <v>115</v>
      </c>
      <c r="D108" s="28" t="str">
        <f ca="1">IFERROR(__xludf.DUMMYFUNCTION("REGEXEXTRACT(C108, ""TRiP\.([^}]*)"")"),"GL01178")</f>
        <v>GL01178</v>
      </c>
      <c r="E108" s="28" t="e">
        <f t="shared" ca="1" si="4"/>
        <v>#NAME?</v>
      </c>
      <c r="F108" s="28"/>
      <c r="G108" s="31" t="e">
        <f t="shared" ca="1" si="0"/>
        <v>#NAME?</v>
      </c>
      <c r="H108" s="17"/>
      <c r="I108" s="17"/>
      <c r="J108" s="17"/>
      <c r="K108" s="17"/>
      <c r="L108" s="17"/>
      <c r="M108" s="17"/>
      <c r="N108" s="42"/>
      <c r="O108" s="33" t="s">
        <v>116</v>
      </c>
      <c r="P108" s="34"/>
      <c r="Q108" s="33" t="s">
        <v>117</v>
      </c>
      <c r="R108" s="40" t="s">
        <v>118</v>
      </c>
      <c r="Y108" s="4" t="s">
        <v>6</v>
      </c>
      <c r="Z108" s="4">
        <v>36625</v>
      </c>
      <c r="AA108" s="4"/>
    </row>
    <row r="109" spans="1:27" ht="15">
      <c r="C109" s="44" t="s">
        <v>119</v>
      </c>
      <c r="D109" s="28" t="str">
        <f ca="1">IFERROR(__xludf.DUMMYFUNCTION("REGEXEXTRACT(C109, ""TRiP\.([^}]*)"")"),"GL01541")</f>
        <v>GL01541</v>
      </c>
      <c r="E109" s="28" t="e">
        <f t="shared" ca="1" si="4"/>
        <v>#NAME?</v>
      </c>
      <c r="F109" s="28"/>
      <c r="G109" s="31" t="e">
        <f t="shared" ca="1" si="0"/>
        <v>#NAME?</v>
      </c>
      <c r="H109" s="17"/>
      <c r="I109" s="17"/>
      <c r="J109" s="17"/>
      <c r="K109" s="17"/>
      <c r="L109" s="17"/>
      <c r="M109" s="17"/>
      <c r="N109" s="36" t="s">
        <v>120</v>
      </c>
      <c r="O109" s="33" t="s">
        <v>104</v>
      </c>
      <c r="P109" s="33" t="s">
        <v>105</v>
      </c>
      <c r="Q109" s="33" t="s">
        <v>121</v>
      </c>
      <c r="R109" s="40" t="s">
        <v>122</v>
      </c>
      <c r="Y109" s="4" t="s">
        <v>6</v>
      </c>
      <c r="Z109" s="4">
        <v>36625</v>
      </c>
      <c r="AA109" s="4"/>
    </row>
    <row r="110" spans="1:27" ht="16">
      <c r="C110" s="43" t="s">
        <v>123</v>
      </c>
      <c r="D110" s="28" t="str">
        <f ca="1">IFERROR(__xludf.DUMMYFUNCTION("REGEXEXTRACT(C110, ""TRiP\.([^}]*)"")"),"HMC03573")</f>
        <v>HMC03573</v>
      </c>
      <c r="E110" s="28" t="e">
        <f t="shared" ca="1" si="4"/>
        <v>#NAME?</v>
      </c>
      <c r="F110" s="28"/>
      <c r="G110" s="31" t="e">
        <f t="shared" ca="1" si="0"/>
        <v>#NAME?</v>
      </c>
      <c r="H110" s="17"/>
      <c r="I110" s="17"/>
      <c r="J110" s="17"/>
      <c r="K110" s="17"/>
      <c r="L110" s="17"/>
      <c r="M110" s="17"/>
      <c r="N110" s="42"/>
      <c r="O110" s="33" t="s">
        <v>104</v>
      </c>
      <c r="P110" s="33" t="s">
        <v>105</v>
      </c>
      <c r="Q110" s="45" t="s">
        <v>109</v>
      </c>
      <c r="R110" s="40" t="s">
        <v>124</v>
      </c>
      <c r="Y110" s="4" t="s">
        <v>6</v>
      </c>
      <c r="Z110" s="4">
        <v>36625</v>
      </c>
      <c r="AA110" s="4"/>
    </row>
    <row r="111" spans="1:27" ht="16">
      <c r="C111" s="44" t="s">
        <v>125</v>
      </c>
      <c r="D111" s="28" t="str">
        <f ca="1">IFERROR(__xludf.DUMMYFUNCTION("REGEXEXTRACT(C111, ""TRiP\.([^}]*)"")"),"#N/A")</f>
        <v>#N/A</v>
      </c>
      <c r="E111" s="28" t="e">
        <f t="shared" ca="1" si="4"/>
        <v>#NAME?</v>
      </c>
      <c r="F111" s="28"/>
      <c r="G111" s="31" t="e">
        <f t="shared" ca="1" si="0"/>
        <v>#NAME?</v>
      </c>
      <c r="H111" s="17"/>
      <c r="I111" s="17"/>
      <c r="J111" s="17"/>
      <c r="K111" s="17"/>
      <c r="L111" s="17"/>
      <c r="M111" s="17"/>
      <c r="N111" s="41"/>
      <c r="O111" s="33" t="s">
        <v>104</v>
      </c>
      <c r="P111" s="33" t="s">
        <v>105</v>
      </c>
      <c r="Q111" s="45" t="s">
        <v>109</v>
      </c>
      <c r="R111" s="40" t="s">
        <v>126</v>
      </c>
      <c r="Y111" s="4" t="s">
        <v>6</v>
      </c>
      <c r="Z111" s="4">
        <v>36625</v>
      </c>
      <c r="AA111" s="4"/>
    </row>
    <row r="112" spans="1:27" ht="15">
      <c r="C112" s="43" t="s">
        <v>127</v>
      </c>
      <c r="D112" s="28" t="str">
        <f ca="1">IFERROR(__xludf.DUMMYFUNCTION("REGEXEXTRACT(C112, ""TRiP\.([^}]*)"")"),"GL01217")</f>
        <v>GL01217</v>
      </c>
      <c r="E112" s="28" t="e">
        <f t="shared" ca="1" si="4"/>
        <v>#NAME?</v>
      </c>
      <c r="F112" s="28"/>
      <c r="H112" s="17"/>
      <c r="I112" s="17"/>
      <c r="J112" s="17"/>
      <c r="K112" s="17"/>
      <c r="L112" s="17"/>
      <c r="M112" s="17"/>
      <c r="Y112" s="4" t="s">
        <v>6</v>
      </c>
      <c r="Z112" s="4">
        <v>36718</v>
      </c>
      <c r="AA112" s="4"/>
    </row>
    <row r="113" spans="3:27" ht="15">
      <c r="C113" s="44" t="s">
        <v>128</v>
      </c>
      <c r="D113" s="28" t="str">
        <f ca="1">IFERROR(__xludf.DUMMYFUNCTION("REGEXEXTRACT(C113, ""TRiP\.([^}]*)"")"),"HM05071")</f>
        <v>HM05071</v>
      </c>
      <c r="E113" s="28" t="e">
        <f t="shared" ca="1" si="4"/>
        <v>#NAME?</v>
      </c>
      <c r="F113" s="28"/>
      <c r="H113" s="17"/>
      <c r="I113" s="17"/>
      <c r="J113" s="17"/>
      <c r="K113" s="17"/>
      <c r="L113" s="17"/>
      <c r="M113" s="17"/>
      <c r="Y113" s="4" t="s">
        <v>6</v>
      </c>
      <c r="Z113" s="4">
        <v>38293</v>
      </c>
      <c r="AA113" s="4"/>
    </row>
    <row r="114" spans="3:27" ht="15">
      <c r="C114" s="43" t="s">
        <v>31</v>
      </c>
      <c r="D114" s="28" t="str">
        <f ca="1">IFERROR(__xludf.DUMMYFUNCTION("REGEXEXTRACT(C114, ""TRiP\.([^}]*)"")"),"JF03500")</f>
        <v>JF03500</v>
      </c>
      <c r="E114" s="28" t="e">
        <f t="shared" ca="1" si="4"/>
        <v>#NAME?</v>
      </c>
      <c r="F114" s="28"/>
      <c r="H114" s="17"/>
      <c r="I114" s="17"/>
      <c r="J114" s="17"/>
      <c r="K114" s="17"/>
      <c r="L114" s="17"/>
      <c r="M114" s="17"/>
      <c r="Y114" s="4" t="s">
        <v>6</v>
      </c>
      <c r="Z114" s="4">
        <v>38293</v>
      </c>
      <c r="AA114" s="4"/>
    </row>
    <row r="115" spans="3:27" ht="15">
      <c r="C115" s="44" t="s">
        <v>129</v>
      </c>
      <c r="D115" s="28" t="str">
        <f ca="1">IFERROR(__xludf.DUMMYFUNCTION("REGEXEXTRACT(C115, ""TRiP\.([^}]*)"")"),"JF03358")</f>
        <v>JF03358</v>
      </c>
      <c r="E115" s="28" t="e">
        <f t="shared" ca="1" si="4"/>
        <v>#NAME?</v>
      </c>
      <c r="F115" s="28"/>
      <c r="H115" s="17"/>
      <c r="I115" s="17"/>
      <c r="J115" s="17"/>
      <c r="K115" s="17"/>
      <c r="L115" s="17"/>
      <c r="M115" s="17"/>
      <c r="Y115" s="4" t="s">
        <v>6</v>
      </c>
      <c r="Z115" s="4">
        <v>38293</v>
      </c>
      <c r="AA115" s="4"/>
    </row>
    <row r="116" spans="3:27" ht="15">
      <c r="C116" s="43" t="s">
        <v>68</v>
      </c>
      <c r="D116" s="28" t="str">
        <f ca="1">IFERROR(__xludf.DUMMYFUNCTION("REGEXEXTRACT(C116, ""TRiP\.([^}]*)"")"),"HMC03868")</f>
        <v>HMC03868</v>
      </c>
      <c r="E116" s="28" t="e">
        <f t="shared" ca="1" si="4"/>
        <v>#NAME?</v>
      </c>
      <c r="F116" s="28"/>
      <c r="H116" s="17"/>
      <c r="I116" s="17"/>
      <c r="J116" s="17"/>
      <c r="K116" s="17"/>
      <c r="L116" s="17"/>
      <c r="M116" s="17"/>
      <c r="Y116" s="4" t="s">
        <v>6</v>
      </c>
      <c r="Z116" s="4">
        <v>38293</v>
      </c>
      <c r="AA116" s="4"/>
    </row>
    <row r="117" spans="3:27" ht="15">
      <c r="C117" s="44" t="s">
        <v>130</v>
      </c>
      <c r="D117" s="28" t="str">
        <f ca="1">IFERROR(__xludf.DUMMYFUNCTION("REGEXEXTRACT(C117, ""TRiP\.([^}]*)"")"),"GLC01422")</f>
        <v>GLC01422</v>
      </c>
      <c r="E117" s="28" t="e">
        <f t="shared" ca="1" si="4"/>
        <v>#NAME?</v>
      </c>
      <c r="F117" s="28"/>
      <c r="H117" s="17"/>
      <c r="I117" s="17"/>
      <c r="J117" s="17"/>
      <c r="K117" s="17"/>
      <c r="L117" s="17"/>
      <c r="M117" s="17"/>
      <c r="Y117" s="4" t="s">
        <v>6</v>
      </c>
      <c r="Z117" s="4">
        <v>38293</v>
      </c>
      <c r="AA117" s="4"/>
    </row>
    <row r="118" spans="3:27" ht="15">
      <c r="C118" s="43" t="s">
        <v>52</v>
      </c>
      <c r="D118" s="28" t="str">
        <f ca="1">IFERROR(__xludf.DUMMYFUNCTION("REGEXEXTRACT(C118, ""TRiP\.([^}]*)"")"),"HMS01666")</f>
        <v>HMS01666</v>
      </c>
      <c r="E118" s="28" t="e">
        <f t="shared" ca="1" si="4"/>
        <v>#NAME?</v>
      </c>
      <c r="F118" s="28"/>
      <c r="H118" s="17"/>
      <c r="I118" s="17"/>
      <c r="J118" s="17"/>
      <c r="K118" s="17"/>
      <c r="L118" s="17"/>
      <c r="M118" s="17"/>
      <c r="Y118" s="4" t="s">
        <v>6</v>
      </c>
      <c r="Z118" s="4">
        <v>38293</v>
      </c>
      <c r="AA118" s="4"/>
    </row>
    <row r="119" spans="3:27" ht="15">
      <c r="C119" s="44" t="s">
        <v>131</v>
      </c>
      <c r="D119" s="28" t="str">
        <f ca="1">IFERROR(__xludf.DUMMYFUNCTION("REGEXEXTRACT(C119, ""TRiP\.([^}]*)"")"),"HMS05812")</f>
        <v>HMS05812</v>
      </c>
      <c r="E119" s="28" t="e">
        <f t="shared" ca="1" si="4"/>
        <v>#NAME?</v>
      </c>
      <c r="F119" s="28"/>
      <c r="H119" s="17"/>
      <c r="I119" s="17"/>
      <c r="J119" s="17"/>
      <c r="K119" s="17"/>
      <c r="L119" s="17"/>
      <c r="M119" s="17"/>
      <c r="Y119" s="4" t="s">
        <v>6</v>
      </c>
      <c r="Z119" s="4">
        <v>38293</v>
      </c>
      <c r="AA119" s="4"/>
    </row>
    <row r="120" spans="3:27" ht="15">
      <c r="C120" s="43" t="s">
        <v>132</v>
      </c>
      <c r="D120" s="28" t="str">
        <f ca="1">IFERROR(__xludf.DUMMYFUNCTION("REGEXEXTRACT(C120, ""TRiP\.([^}]*)"")"),"HMS02487")</f>
        <v>HMS02487</v>
      </c>
      <c r="E120" s="28" t="e">
        <f t="shared" ca="1" si="4"/>
        <v>#NAME?</v>
      </c>
      <c r="F120" s="28"/>
      <c r="H120" s="17"/>
      <c r="I120" s="17"/>
      <c r="J120" s="17"/>
      <c r="K120" s="17"/>
      <c r="L120" s="17"/>
      <c r="M120" s="17"/>
      <c r="Y120" s="4" t="s">
        <v>6</v>
      </c>
      <c r="Z120" s="4">
        <v>38519</v>
      </c>
      <c r="AA120" s="4"/>
    </row>
    <row r="121" spans="3:27" ht="15">
      <c r="C121" s="44" t="s">
        <v>133</v>
      </c>
      <c r="D121" s="28" t="str">
        <f ca="1">IFERROR(__xludf.DUMMYFUNCTION("REGEXEXTRACT(C121, ""TRiP\.([^}]*)"")"),"JF02561")</f>
        <v>JF02561</v>
      </c>
      <c r="E121" s="28" t="e">
        <f t="shared" ca="1" si="4"/>
        <v>#NAME?</v>
      </c>
      <c r="F121" s="28"/>
      <c r="H121" s="17"/>
      <c r="I121" s="17"/>
      <c r="J121" s="17"/>
      <c r="K121" s="17"/>
      <c r="L121" s="17"/>
      <c r="M121" s="17"/>
      <c r="Y121" s="4" t="s">
        <v>6</v>
      </c>
      <c r="Z121" s="4">
        <v>38519</v>
      </c>
      <c r="AA121" s="4"/>
    </row>
    <row r="122" spans="3:27" ht="15">
      <c r="C122" s="43" t="s">
        <v>134</v>
      </c>
      <c r="D122" s="28" t="str">
        <f ca="1">IFERROR(__xludf.DUMMYFUNCTION("REGEXEXTRACT(C122, ""TRiP\.([^}]*)"")"),"HMC04814")</f>
        <v>HMC04814</v>
      </c>
      <c r="E122" s="28" t="e">
        <f t="shared" ca="1" si="4"/>
        <v>#NAME?</v>
      </c>
      <c r="F122" s="28"/>
      <c r="H122" s="17"/>
      <c r="I122" s="17"/>
      <c r="J122" s="17"/>
      <c r="K122" s="17"/>
      <c r="L122" s="17"/>
      <c r="M122" s="17"/>
      <c r="Y122" s="4" t="s">
        <v>6</v>
      </c>
      <c r="Z122" s="4">
        <v>38519</v>
      </c>
      <c r="AA122" s="4"/>
    </row>
    <row r="123" spans="3:27" ht="15">
      <c r="C123" s="44" t="s">
        <v>135</v>
      </c>
      <c r="D123" s="28" t="str">
        <f ca="1">IFERROR(__xludf.DUMMYFUNCTION("REGEXEXTRACT(C123, ""TRiP\.([^}]*)"")"),"HM05059")</f>
        <v>HM05059</v>
      </c>
      <c r="E123" s="28" t="e">
        <f t="shared" ca="1" si="4"/>
        <v>#NAME?</v>
      </c>
      <c r="F123" s="28"/>
      <c r="H123" s="17"/>
      <c r="I123" s="17"/>
      <c r="J123" s="17"/>
      <c r="K123" s="17"/>
      <c r="L123" s="17"/>
      <c r="M123" s="17"/>
      <c r="Y123" s="4" t="s">
        <v>6</v>
      </c>
      <c r="Z123" s="4">
        <v>38894</v>
      </c>
      <c r="AA123" s="4"/>
    </row>
    <row r="124" spans="3:27" ht="15">
      <c r="C124" s="43" t="s">
        <v>136</v>
      </c>
      <c r="D124" s="28" t="str">
        <f ca="1">IFERROR(__xludf.DUMMYFUNCTION("REGEXEXTRACT(C124, ""TRiP\.([^}]*)"")"),"HMC05885")</f>
        <v>HMC05885</v>
      </c>
      <c r="E124" s="28" t="e">
        <f t="shared" ca="1" si="4"/>
        <v>#NAME?</v>
      </c>
      <c r="F124" s="28"/>
      <c r="H124" s="17"/>
      <c r="I124" s="17"/>
      <c r="J124" s="17"/>
      <c r="K124" s="17" t="s">
        <v>137</v>
      </c>
      <c r="L124" s="17"/>
      <c r="M124" s="17"/>
      <c r="Y124" s="4" t="s">
        <v>6</v>
      </c>
      <c r="Z124" s="4">
        <v>38894</v>
      </c>
      <c r="AA124" s="4"/>
    </row>
    <row r="125" spans="3:27" ht="15">
      <c r="C125" s="44" t="s">
        <v>138</v>
      </c>
      <c r="D125" s="28" t="str">
        <f ca="1">IFERROR(__xludf.DUMMYFUNCTION("REGEXEXTRACT(C125, ""TRiP\.([^}]*)"")"),"HM05104")</f>
        <v>HM05104</v>
      </c>
      <c r="E125" s="28" t="e">
        <f t="shared" ca="1" si="4"/>
        <v>#NAME?</v>
      </c>
      <c r="F125" s="28"/>
      <c r="H125" s="17"/>
      <c r="I125" s="17"/>
      <c r="J125" s="17"/>
      <c r="K125" s="17"/>
      <c r="L125" s="17"/>
      <c r="M125" s="17"/>
      <c r="Y125" s="4" t="s">
        <v>6</v>
      </c>
      <c r="Z125" s="4">
        <v>38984</v>
      </c>
      <c r="AA125" s="4"/>
    </row>
    <row r="126" spans="3:27" ht="15">
      <c r="C126" s="43" t="s">
        <v>139</v>
      </c>
      <c r="D126" s="28" t="str">
        <f ca="1">IFERROR(__xludf.DUMMYFUNCTION("REGEXEXTRACT(C126, ""TRiP\.([^}]*)"")"),"HMC04106")</f>
        <v>HMC04106</v>
      </c>
      <c r="E126" s="28" t="e">
        <f t="shared" ca="1" si="4"/>
        <v>#NAME?</v>
      </c>
      <c r="F126" s="28"/>
      <c r="H126" s="17"/>
      <c r="I126" s="17"/>
      <c r="J126" s="17"/>
      <c r="K126" s="17"/>
      <c r="L126" s="17"/>
      <c r="M126" s="17"/>
      <c r="Y126" s="4" t="s">
        <v>6</v>
      </c>
      <c r="Z126" s="4">
        <v>38984</v>
      </c>
      <c r="AA126" s="4"/>
    </row>
    <row r="127" spans="3:27" ht="15">
      <c r="C127" s="44" t="s">
        <v>140</v>
      </c>
      <c r="D127" s="28" t="str">
        <f ca="1">IFERROR(__xludf.DUMMYFUNCTION("REGEXEXTRACT(C127, ""TRiP\.([^}]*)"")"),"HMJ21485")</f>
        <v>HMJ21485</v>
      </c>
      <c r="E127" s="28" t="e">
        <f t="shared" ca="1" si="4"/>
        <v>#NAME?</v>
      </c>
      <c r="F127" s="28"/>
      <c r="H127" s="17"/>
      <c r="I127" s="17"/>
      <c r="J127" s="17"/>
      <c r="K127" s="17"/>
      <c r="L127" s="17"/>
      <c r="M127" s="17"/>
      <c r="Y127" s="4" t="s">
        <v>6</v>
      </c>
      <c r="Z127" s="4">
        <v>38984</v>
      </c>
      <c r="AA127" s="4"/>
    </row>
    <row r="128" spans="3:27" ht="15">
      <c r="C128" s="43" t="s">
        <v>141</v>
      </c>
      <c r="D128" s="28" t="str">
        <f ca="1">IFERROR(__xludf.DUMMYFUNCTION("REGEXEXTRACT(C128, ""TRiP\.([^}]*)"")"),"HMS01900")</f>
        <v>HMS01900</v>
      </c>
      <c r="E128" s="28" t="e">
        <f t="shared" ca="1" si="4"/>
        <v>#NAME?</v>
      </c>
      <c r="F128" s="28"/>
      <c r="H128" s="17"/>
      <c r="I128" s="17"/>
      <c r="J128" s="17"/>
      <c r="K128" s="17"/>
      <c r="L128" s="17"/>
      <c r="M128" s="17"/>
      <c r="Y128" s="4" t="s">
        <v>6</v>
      </c>
      <c r="Z128" s="4">
        <v>38984</v>
      </c>
      <c r="AA128" s="4"/>
    </row>
    <row r="129" spans="3:27" ht="15">
      <c r="C129" s="44" t="s">
        <v>75</v>
      </c>
      <c r="D129" s="28" t="str">
        <f ca="1">IFERROR(__xludf.DUMMYFUNCTION("REGEXEXTRACT(C129, ""TRiP\.([^}]*)"")"),"HMJ22833")</f>
        <v>HMJ22833</v>
      </c>
      <c r="E129" s="28" t="e">
        <f t="shared" ca="1" si="4"/>
        <v>#NAME?</v>
      </c>
      <c r="F129" s="28"/>
      <c r="H129" s="17"/>
      <c r="I129" s="17"/>
      <c r="J129" s="17"/>
      <c r="K129" s="17"/>
      <c r="L129" s="17"/>
      <c r="M129" s="17"/>
      <c r="Y129" s="4" t="s">
        <v>6</v>
      </c>
      <c r="Z129" s="4">
        <v>38984</v>
      </c>
      <c r="AA129" s="4"/>
    </row>
    <row r="130" spans="3:27" ht="15">
      <c r="C130" s="43" t="s">
        <v>142</v>
      </c>
      <c r="D130" s="28" t="str">
        <f ca="1">IFERROR(__xludf.DUMMYFUNCTION("REGEXEXTRACT(C130, ""TRiP\.([^}]*)"")"),"HMJ23156")</f>
        <v>HMJ23156</v>
      </c>
      <c r="E130" s="28" t="e">
        <f t="shared" ca="1" si="4"/>
        <v>#NAME?</v>
      </c>
      <c r="F130" s="28"/>
      <c r="H130" s="17"/>
      <c r="I130" s="17"/>
      <c r="J130" s="17"/>
      <c r="K130" s="17"/>
      <c r="L130" s="17"/>
      <c r="M130" s="17"/>
      <c r="Y130" s="4" t="s">
        <v>6</v>
      </c>
      <c r="Z130" s="4">
        <v>38984</v>
      </c>
      <c r="AA130" s="4"/>
    </row>
    <row r="131" spans="3:27" ht="15">
      <c r="C131" s="44" t="s">
        <v>143</v>
      </c>
      <c r="D131" s="28" t="str">
        <f ca="1">IFERROR(__xludf.DUMMYFUNCTION("REGEXEXTRACT(C131, ""TRiP\.([^}]*)"")"),"HMC05968")</f>
        <v>HMC05968</v>
      </c>
      <c r="E131" s="28" t="e">
        <f t="shared" ca="1" si="4"/>
        <v>#NAME?</v>
      </c>
      <c r="F131" s="28"/>
      <c r="H131" s="17"/>
      <c r="I131" s="17"/>
      <c r="J131" s="17"/>
      <c r="K131" s="17"/>
      <c r="L131" s="17"/>
      <c r="M131" s="17"/>
      <c r="Y131" s="4" t="s">
        <v>6</v>
      </c>
      <c r="Z131" s="4">
        <v>38984</v>
      </c>
      <c r="AA131" s="4"/>
    </row>
    <row r="132" spans="3:27" ht="15">
      <c r="D132" s="28"/>
      <c r="E132" s="28"/>
      <c r="F132" s="28"/>
      <c r="H132" s="17"/>
      <c r="I132" s="17"/>
      <c r="J132" s="17"/>
      <c r="K132" s="17"/>
      <c r="L132" s="17"/>
      <c r="M132" s="17"/>
      <c r="Y132" s="4" t="s">
        <v>6</v>
      </c>
      <c r="Z132" s="4">
        <v>38984</v>
      </c>
      <c r="AA132" s="4"/>
    </row>
    <row r="133" spans="3:27" ht="15">
      <c r="D133" s="28"/>
      <c r="E133" s="28"/>
      <c r="F133" s="28"/>
      <c r="H133" s="17"/>
      <c r="I133" s="17"/>
      <c r="J133" s="17"/>
      <c r="K133" s="17"/>
      <c r="L133" s="17"/>
      <c r="M133" s="17"/>
      <c r="Y133" s="4" t="s">
        <v>6</v>
      </c>
      <c r="Z133" s="4">
        <v>38984</v>
      </c>
      <c r="AA133" s="4"/>
    </row>
    <row r="134" spans="3:27" ht="15">
      <c r="D134" s="28"/>
      <c r="E134" s="28"/>
      <c r="F134" s="28"/>
      <c r="H134" s="17"/>
      <c r="I134" s="17"/>
      <c r="J134" s="17"/>
      <c r="K134" s="17"/>
      <c r="L134" s="17"/>
      <c r="M134" s="17"/>
      <c r="Y134" s="4" t="s">
        <v>6</v>
      </c>
      <c r="Z134" s="4">
        <v>38984</v>
      </c>
      <c r="AA134" s="4"/>
    </row>
    <row r="135" spans="3:27" ht="15">
      <c r="D135" s="28"/>
      <c r="E135" s="28"/>
      <c r="F135" s="28"/>
      <c r="H135" s="17"/>
      <c r="I135" s="17"/>
      <c r="J135" s="17"/>
      <c r="K135" s="17"/>
      <c r="L135" s="17"/>
      <c r="M135" s="17"/>
      <c r="Y135" s="4" t="s">
        <v>6</v>
      </c>
      <c r="Z135" s="4">
        <v>41697</v>
      </c>
      <c r="AA135" s="4"/>
    </row>
    <row r="136" spans="3:27" ht="15">
      <c r="D136" s="28"/>
      <c r="E136" s="28"/>
      <c r="F136" s="28"/>
      <c r="H136" s="17"/>
      <c r="I136" s="17"/>
      <c r="J136" s="17"/>
      <c r="K136" s="17"/>
      <c r="L136" s="17"/>
      <c r="M136" s="17"/>
      <c r="Y136" s="4" t="s">
        <v>6</v>
      </c>
      <c r="Z136" s="4">
        <v>42651</v>
      </c>
      <c r="AA136" s="4"/>
    </row>
    <row r="137" spans="3:27" ht="15">
      <c r="D137" s="28"/>
      <c r="E137" s="28"/>
      <c r="F137" s="28"/>
      <c r="H137" s="17"/>
      <c r="I137" s="17"/>
      <c r="J137" s="17"/>
      <c r="K137" s="17"/>
      <c r="L137" s="17"/>
      <c r="M137" s="17"/>
      <c r="Y137" s="4" t="s">
        <v>6</v>
      </c>
      <c r="Z137" s="4">
        <v>42753</v>
      </c>
      <c r="AA137" s="4"/>
    </row>
    <row r="138" spans="3:27" ht="15">
      <c r="D138" s="28"/>
      <c r="E138" s="28"/>
      <c r="F138" s="28"/>
      <c r="H138" s="17"/>
      <c r="I138" s="17"/>
      <c r="J138" s="17"/>
      <c r="K138" s="17"/>
      <c r="L138" s="17"/>
      <c r="M138" s="17"/>
      <c r="Y138" s="4" t="s">
        <v>6</v>
      </c>
      <c r="Z138" s="4">
        <v>42753</v>
      </c>
      <c r="AA138" s="4"/>
    </row>
    <row r="139" spans="3:27" ht="15">
      <c r="D139" s="28"/>
      <c r="E139" s="28"/>
      <c r="F139" s="28"/>
      <c r="H139" s="17"/>
      <c r="I139" s="17"/>
      <c r="J139" s="17"/>
      <c r="K139" s="17"/>
      <c r="L139" s="17"/>
      <c r="M139" s="17"/>
      <c r="Y139" s="4" t="s">
        <v>6</v>
      </c>
      <c r="Z139" s="4">
        <v>43204</v>
      </c>
      <c r="AA139" s="4"/>
    </row>
    <row r="140" spans="3:27" ht="15">
      <c r="D140" s="28"/>
      <c r="E140" s="28"/>
      <c r="F140" s="28"/>
      <c r="H140" s="17"/>
      <c r="I140" s="17"/>
      <c r="J140" s="17"/>
      <c r="K140" s="17" t="s">
        <v>144</v>
      </c>
      <c r="L140" s="17" t="s">
        <v>145</v>
      </c>
      <c r="M140" s="17" t="s">
        <v>146</v>
      </c>
      <c r="Y140" s="4" t="s">
        <v>6</v>
      </c>
      <c r="Z140" s="4">
        <v>43235</v>
      </c>
      <c r="AA140" s="4"/>
    </row>
    <row r="141" spans="3:27" ht="15">
      <c r="D141" s="28"/>
      <c r="E141" s="28"/>
      <c r="F141" s="28"/>
      <c r="H141" s="17"/>
      <c r="I141" s="17"/>
      <c r="J141" s="17"/>
      <c r="K141" s="17"/>
      <c r="L141" s="17"/>
      <c r="M141" s="17"/>
      <c r="Y141" s="4" t="s">
        <v>6</v>
      </c>
      <c r="Z141" s="4">
        <v>43545</v>
      </c>
      <c r="AA141" s="4"/>
    </row>
    <row r="142" spans="3:27" ht="15">
      <c r="D142" s="28"/>
      <c r="E142" s="28"/>
      <c r="F142" s="28"/>
      <c r="H142" s="17"/>
      <c r="I142" s="17"/>
      <c r="J142" s="17"/>
      <c r="K142" s="17"/>
      <c r="L142" s="17"/>
      <c r="M142" s="17"/>
      <c r="Y142" s="4" t="s">
        <v>6</v>
      </c>
      <c r="Z142" s="4">
        <v>43545</v>
      </c>
      <c r="AA142" s="4"/>
    </row>
    <row r="143" spans="3:27" ht="15">
      <c r="D143" s="28"/>
      <c r="E143" s="28"/>
      <c r="F143" s="28"/>
      <c r="H143" s="17"/>
      <c r="I143" s="17"/>
      <c r="J143" s="17"/>
      <c r="K143" s="17"/>
      <c r="L143" s="17"/>
      <c r="M143" s="17"/>
      <c r="Y143" s="4" t="s">
        <v>6</v>
      </c>
      <c r="Z143" s="4">
        <v>51157</v>
      </c>
      <c r="AA143" s="4"/>
    </row>
    <row r="144" spans="3:27" ht="15">
      <c r="D144" s="28"/>
      <c r="E144" s="28"/>
      <c r="F144" s="28"/>
      <c r="H144" s="17"/>
      <c r="I144" s="17"/>
      <c r="J144" s="17"/>
      <c r="K144" s="17"/>
      <c r="L144" s="17"/>
      <c r="M144" s="17"/>
      <c r="Y144" s="4" t="s">
        <v>6</v>
      </c>
      <c r="Z144" s="4">
        <v>51157</v>
      </c>
      <c r="AA144" s="4"/>
    </row>
    <row r="145" spans="4:27" ht="15">
      <c r="D145" s="28"/>
      <c r="E145" s="28"/>
      <c r="F145" s="28"/>
      <c r="H145" s="17"/>
      <c r="I145" s="17"/>
      <c r="J145" s="17"/>
      <c r="K145" s="17"/>
      <c r="L145" s="17"/>
      <c r="M145" s="17"/>
      <c r="Y145" s="4" t="s">
        <v>6</v>
      </c>
      <c r="Z145" s="4">
        <v>51157</v>
      </c>
      <c r="AA145" s="4"/>
    </row>
    <row r="146" spans="4:27" ht="15">
      <c r="D146" s="28"/>
      <c r="E146" s="28"/>
      <c r="F146" s="28"/>
      <c r="H146" s="17"/>
      <c r="I146" s="17"/>
      <c r="J146" s="17"/>
      <c r="K146" s="17"/>
      <c r="L146" s="17"/>
      <c r="M146" s="17"/>
      <c r="Y146" s="4" t="s">
        <v>6</v>
      </c>
      <c r="Z146" s="4">
        <v>51157</v>
      </c>
      <c r="AA146" s="4"/>
    </row>
    <row r="147" spans="4:27" ht="15">
      <c r="D147" s="28"/>
      <c r="E147" s="28"/>
      <c r="F147" s="28"/>
      <c r="H147" s="17"/>
      <c r="I147" s="17"/>
      <c r="J147" s="17"/>
      <c r="K147" s="17"/>
      <c r="L147" s="17"/>
      <c r="M147" s="17"/>
      <c r="Y147" s="4" t="s">
        <v>6</v>
      </c>
      <c r="Z147" s="4">
        <v>51157</v>
      </c>
      <c r="AA147" s="4"/>
    </row>
    <row r="148" spans="4:27" ht="15">
      <c r="D148" s="28"/>
      <c r="E148" s="28"/>
      <c r="F148" s="28"/>
      <c r="H148" s="17"/>
      <c r="I148" s="17"/>
      <c r="J148" s="17"/>
      <c r="K148" s="17"/>
      <c r="L148" s="17"/>
      <c r="M148" s="17"/>
      <c r="Y148" s="4" t="s">
        <v>6</v>
      </c>
      <c r="Z148" s="4">
        <v>51157</v>
      </c>
      <c r="AA148" s="4"/>
    </row>
    <row r="149" spans="4:27" ht="15">
      <c r="D149" s="28"/>
      <c r="E149" s="28"/>
      <c r="F149" s="28"/>
      <c r="H149" s="17"/>
      <c r="I149" s="17"/>
      <c r="J149" s="17"/>
      <c r="K149" s="17" t="s">
        <v>147</v>
      </c>
      <c r="L149" s="17"/>
      <c r="M149" s="17"/>
      <c r="Y149" s="4" t="s">
        <v>6</v>
      </c>
      <c r="Z149" s="4">
        <v>51157</v>
      </c>
      <c r="AA149" s="4"/>
    </row>
    <row r="150" spans="4:27" ht="15">
      <c r="D150" s="28"/>
      <c r="E150" s="28"/>
      <c r="F150" s="28"/>
      <c r="H150" s="17"/>
      <c r="I150" s="17"/>
      <c r="J150" s="17"/>
      <c r="K150" s="17" t="s">
        <v>147</v>
      </c>
      <c r="L150" s="17"/>
      <c r="M150" s="17"/>
      <c r="Y150" s="4" t="s">
        <v>6</v>
      </c>
      <c r="Z150" s="4">
        <v>51157</v>
      </c>
      <c r="AA150" s="4"/>
    </row>
    <row r="151" spans="4:27" ht="15">
      <c r="D151" s="28"/>
      <c r="E151" s="28"/>
      <c r="F151" s="28"/>
      <c r="H151" s="17"/>
      <c r="I151" s="17"/>
      <c r="J151" s="17"/>
      <c r="K151" s="17" t="s">
        <v>148</v>
      </c>
      <c r="L151" s="17" t="s">
        <v>149</v>
      </c>
      <c r="M151" s="17"/>
      <c r="Y151" s="4" t="s">
        <v>6</v>
      </c>
      <c r="Z151" s="4">
        <v>51157</v>
      </c>
      <c r="AA151" s="4"/>
    </row>
    <row r="152" spans="4:27" ht="15">
      <c r="D152" s="28"/>
      <c r="E152" s="28"/>
      <c r="F152" s="28"/>
      <c r="H152" s="17"/>
      <c r="I152" s="17"/>
      <c r="J152" s="17"/>
      <c r="K152" s="17" t="s">
        <v>150</v>
      </c>
      <c r="L152" s="17" t="s">
        <v>151</v>
      </c>
      <c r="M152" s="17" t="s">
        <v>152</v>
      </c>
      <c r="Y152" s="4" t="s">
        <v>6</v>
      </c>
      <c r="Z152" s="4">
        <v>51157</v>
      </c>
      <c r="AA152" s="4"/>
    </row>
    <row r="153" spans="4:27" ht="15">
      <c r="D153" s="28"/>
      <c r="E153" s="28"/>
      <c r="F153" s="28"/>
      <c r="H153" s="17"/>
      <c r="I153" s="17"/>
      <c r="J153" s="17"/>
      <c r="K153" s="17" t="s">
        <v>144</v>
      </c>
      <c r="L153" s="17" t="s">
        <v>145</v>
      </c>
      <c r="M153" s="17" t="s">
        <v>146</v>
      </c>
      <c r="Y153" s="4" t="s">
        <v>6</v>
      </c>
      <c r="Z153" s="4">
        <v>5255</v>
      </c>
      <c r="AA153" s="4"/>
    </row>
    <row r="154" spans="4:27" ht="15">
      <c r="D154" s="28"/>
      <c r="E154" s="28"/>
      <c r="F154" s="28"/>
      <c r="H154" s="17"/>
      <c r="I154" s="17"/>
      <c r="J154" s="17"/>
      <c r="K154" s="17" t="s">
        <v>153</v>
      </c>
      <c r="L154" s="17"/>
      <c r="M154" s="17"/>
      <c r="Y154" s="4" t="s">
        <v>6</v>
      </c>
      <c r="Z154" s="4">
        <v>5255</v>
      </c>
      <c r="AA154" s="4"/>
    </row>
    <row r="155" spans="4:27" ht="15">
      <c r="D155" s="28"/>
      <c r="E155" s="28"/>
      <c r="F155" s="28"/>
      <c r="H155" s="17"/>
      <c r="I155" s="17"/>
      <c r="J155" s="17"/>
      <c r="K155" s="17"/>
      <c r="L155" s="17"/>
      <c r="M155" s="17"/>
      <c r="Y155" s="4" t="s">
        <v>6</v>
      </c>
      <c r="Z155" s="4">
        <v>5255</v>
      </c>
      <c r="AA155" s="4"/>
    </row>
    <row r="156" spans="4:27" ht="15">
      <c r="D156" s="28"/>
      <c r="E156" s="28"/>
      <c r="F156" s="28"/>
      <c r="H156" s="17"/>
      <c r="I156" s="17"/>
      <c r="J156" s="17"/>
      <c r="K156" s="17"/>
      <c r="L156" s="17"/>
      <c r="M156" s="17"/>
      <c r="Y156" s="4" t="s">
        <v>6</v>
      </c>
      <c r="Z156" s="4">
        <v>5255</v>
      </c>
      <c r="AA156" s="4"/>
    </row>
    <row r="157" spans="4:27" ht="15">
      <c r="D157" s="28"/>
      <c r="E157" s="28"/>
      <c r="F157" s="28"/>
      <c r="H157" s="17"/>
      <c r="I157" s="17"/>
      <c r="J157" s="17"/>
      <c r="K157" s="17"/>
      <c r="L157" s="17"/>
      <c r="M157" s="17"/>
      <c r="Y157" s="4" t="s">
        <v>6</v>
      </c>
      <c r="Z157" s="4">
        <v>5255</v>
      </c>
      <c r="AA157" s="4"/>
    </row>
    <row r="158" spans="4:27" ht="15">
      <c r="D158" s="28"/>
      <c r="E158" s="28"/>
      <c r="F158" s="28"/>
      <c r="H158" s="17"/>
      <c r="I158" s="17"/>
      <c r="J158" s="17"/>
      <c r="K158" s="17" t="s">
        <v>154</v>
      </c>
      <c r="L158" s="17" t="s">
        <v>155</v>
      </c>
      <c r="M158" s="17"/>
      <c r="Y158" s="4" t="s">
        <v>6</v>
      </c>
      <c r="Z158" s="4">
        <v>5255</v>
      </c>
      <c r="AA158" s="4"/>
    </row>
    <row r="159" spans="4:27" ht="15">
      <c r="D159" s="28"/>
      <c r="E159" s="28"/>
      <c r="F159" s="28"/>
      <c r="H159" s="17"/>
      <c r="I159" s="17"/>
      <c r="J159" s="17"/>
      <c r="K159" s="17"/>
      <c r="L159" s="17"/>
      <c r="M159" s="17"/>
      <c r="Y159" s="4" t="s">
        <v>6</v>
      </c>
      <c r="Z159" s="4">
        <v>5255</v>
      </c>
      <c r="AA159" s="4"/>
    </row>
    <row r="160" spans="4:27" ht="15">
      <c r="D160" s="28"/>
      <c r="E160" s="28"/>
      <c r="F160" s="28"/>
      <c r="H160" s="17"/>
      <c r="I160" s="17"/>
      <c r="J160" s="17"/>
      <c r="K160" s="17"/>
      <c r="L160" s="17"/>
      <c r="M160" s="17"/>
      <c r="Y160" s="4" t="s">
        <v>6</v>
      </c>
      <c r="Z160" s="4">
        <v>5255</v>
      </c>
      <c r="AA160" s="4"/>
    </row>
    <row r="161" spans="4:27" ht="15">
      <c r="D161" s="28"/>
      <c r="E161" s="28"/>
      <c r="F161" s="28"/>
      <c r="H161" s="17"/>
      <c r="I161" s="17"/>
      <c r="J161" s="17"/>
      <c r="K161" s="17"/>
      <c r="L161" s="17"/>
      <c r="M161" s="17"/>
      <c r="Y161" s="4" t="s">
        <v>6</v>
      </c>
      <c r="Z161" s="4">
        <v>5255</v>
      </c>
      <c r="AA161" s="4"/>
    </row>
    <row r="162" spans="4:27" ht="15">
      <c r="D162" s="28"/>
      <c r="E162" s="28"/>
      <c r="F162" s="28"/>
      <c r="H162" s="17"/>
      <c r="I162" s="17"/>
      <c r="J162" s="17"/>
      <c r="K162" s="17"/>
      <c r="L162" s="17"/>
      <c r="M162" s="17"/>
      <c r="Y162" s="4" t="s">
        <v>6</v>
      </c>
      <c r="Z162" s="4">
        <v>5255</v>
      </c>
      <c r="AA162" s="4"/>
    </row>
    <row r="163" spans="4:27" ht="15">
      <c r="D163" s="28"/>
      <c r="E163" s="28"/>
      <c r="F163" s="28"/>
      <c r="H163" s="17"/>
      <c r="I163" s="17"/>
      <c r="J163" s="17"/>
      <c r="K163" s="17"/>
      <c r="L163" s="17"/>
      <c r="M163" s="17"/>
      <c r="Y163" s="4" t="s">
        <v>6</v>
      </c>
      <c r="Z163" s="4">
        <v>5255</v>
      </c>
      <c r="AA163" s="4"/>
    </row>
    <row r="164" spans="4:27" ht="15">
      <c r="D164" s="28"/>
      <c r="E164" s="28"/>
      <c r="F164" s="28"/>
      <c r="H164" s="17"/>
      <c r="I164" s="17"/>
      <c r="J164" s="17"/>
      <c r="K164" s="17"/>
      <c r="L164" s="17"/>
      <c r="M164" s="17"/>
      <c r="Y164" s="4" t="s">
        <v>6</v>
      </c>
      <c r="Z164" s="4">
        <v>5255</v>
      </c>
      <c r="AA164" s="4"/>
    </row>
    <row r="165" spans="4:27" ht="15">
      <c r="D165" s="28"/>
      <c r="E165" s="28"/>
      <c r="F165" s="28"/>
      <c r="H165" s="17"/>
      <c r="I165" s="17"/>
      <c r="J165" s="17"/>
      <c r="K165" s="17" t="s">
        <v>156</v>
      </c>
      <c r="L165" s="17"/>
      <c r="M165" s="17"/>
      <c r="Y165" s="4" t="s">
        <v>6</v>
      </c>
      <c r="Z165" s="4">
        <v>5255</v>
      </c>
      <c r="AA165" s="4"/>
    </row>
    <row r="166" spans="4:27" ht="15">
      <c r="D166" s="28"/>
      <c r="E166" s="28"/>
      <c r="F166" s="28"/>
      <c r="H166" s="17"/>
      <c r="I166" s="17"/>
      <c r="J166" s="17"/>
      <c r="K166" s="17" t="s">
        <v>156</v>
      </c>
      <c r="L166" s="17"/>
      <c r="M166" s="17"/>
      <c r="Y166" s="4" t="s">
        <v>6</v>
      </c>
      <c r="Z166" s="4">
        <v>5255</v>
      </c>
      <c r="AA166" s="4"/>
    </row>
    <row r="167" spans="4:27" ht="15">
      <c r="D167" s="28"/>
      <c r="E167" s="28"/>
      <c r="F167" s="28"/>
      <c r="H167" s="17"/>
      <c r="I167" s="17"/>
      <c r="J167" s="17"/>
      <c r="K167" s="17" t="s">
        <v>156</v>
      </c>
      <c r="L167" s="17"/>
      <c r="M167" s="17"/>
      <c r="Y167" s="4" t="s">
        <v>6</v>
      </c>
      <c r="Z167" s="4">
        <v>5255</v>
      </c>
      <c r="AA167" s="4"/>
    </row>
    <row r="168" spans="4:27" ht="15">
      <c r="D168" s="28"/>
      <c r="E168" s="28"/>
      <c r="F168" s="28"/>
      <c r="H168" s="17"/>
      <c r="I168" s="17"/>
      <c r="J168" s="17"/>
      <c r="K168" s="17" t="s">
        <v>70</v>
      </c>
      <c r="L168" s="17" t="s">
        <v>157</v>
      </c>
      <c r="M168" s="17"/>
      <c r="Y168" s="4" t="s">
        <v>6</v>
      </c>
      <c r="Z168" s="4">
        <v>5255</v>
      </c>
      <c r="AA168" s="4"/>
    </row>
    <row r="169" spans="4:27" ht="15">
      <c r="D169" s="28"/>
      <c r="E169" s="28"/>
      <c r="F169" s="28"/>
      <c r="H169" s="17"/>
      <c r="I169" s="17"/>
      <c r="J169" s="17"/>
      <c r="K169" s="17"/>
      <c r="L169" s="17"/>
      <c r="M169" s="17"/>
      <c r="Y169" s="4" t="s">
        <v>6</v>
      </c>
      <c r="Z169" s="4">
        <v>5255</v>
      </c>
      <c r="AA169" s="4"/>
    </row>
    <row r="170" spans="4:27" ht="15">
      <c r="D170" s="28"/>
      <c r="E170" s="28"/>
      <c r="F170" s="28"/>
      <c r="H170" s="17"/>
      <c r="I170" s="17"/>
      <c r="J170" s="17"/>
      <c r="K170" s="17" t="s">
        <v>158</v>
      </c>
      <c r="L170" s="17"/>
      <c r="M170" s="17"/>
      <c r="Y170" s="4" t="s">
        <v>6</v>
      </c>
      <c r="Z170" s="4">
        <v>5255</v>
      </c>
      <c r="AA170" s="4"/>
    </row>
    <row r="171" spans="4:27" ht="15">
      <c r="D171" s="28"/>
      <c r="E171" s="28"/>
      <c r="F171" s="28"/>
      <c r="H171" s="17"/>
      <c r="I171" s="17"/>
      <c r="J171" s="17"/>
      <c r="K171" s="17"/>
      <c r="L171" s="17"/>
      <c r="M171" s="17"/>
      <c r="Y171" s="46" t="s">
        <v>6</v>
      </c>
      <c r="Z171" s="46">
        <v>5255</v>
      </c>
      <c r="AA171" s="4"/>
    </row>
    <row r="172" spans="4:27" ht="15">
      <c r="D172" s="28"/>
      <c r="E172" s="28"/>
      <c r="F172" s="28"/>
      <c r="H172" s="17"/>
      <c r="I172" s="17"/>
      <c r="J172" s="17"/>
      <c r="K172" s="17"/>
      <c r="L172" s="17"/>
      <c r="M172" s="17"/>
      <c r="Y172" s="4" t="s">
        <v>6</v>
      </c>
      <c r="Z172" s="4">
        <v>5255</v>
      </c>
      <c r="AA172" s="4"/>
    </row>
    <row r="173" spans="4:27" ht="15">
      <c r="D173" s="28"/>
      <c r="E173" s="28"/>
      <c r="F173" s="28"/>
      <c r="H173" s="17"/>
      <c r="I173" s="17"/>
      <c r="J173" s="17"/>
      <c r="K173" s="17"/>
      <c r="L173" s="17"/>
      <c r="M173" s="17"/>
      <c r="Y173" s="4" t="s">
        <v>6</v>
      </c>
      <c r="Z173" s="4">
        <v>5255</v>
      </c>
      <c r="AA173" s="4"/>
    </row>
    <row r="174" spans="4:27" ht="15">
      <c r="D174" s="28"/>
      <c r="E174" s="28"/>
      <c r="F174" s="28"/>
      <c r="H174" s="17"/>
      <c r="I174" s="17"/>
      <c r="J174" s="17"/>
      <c r="K174" s="17"/>
      <c r="L174" s="17"/>
      <c r="M174" s="17"/>
      <c r="Y174" s="4" t="s">
        <v>6</v>
      </c>
      <c r="Z174" s="4">
        <v>5255</v>
      </c>
      <c r="AA174" s="4"/>
    </row>
    <row r="175" spans="4:27" ht="15">
      <c r="D175" s="28"/>
      <c r="E175" s="28"/>
      <c r="F175" s="28"/>
      <c r="H175" s="17"/>
      <c r="I175" s="17"/>
      <c r="J175" s="17"/>
      <c r="K175" s="17"/>
      <c r="L175" s="17"/>
      <c r="M175" s="17"/>
      <c r="Y175" s="4" t="s">
        <v>6</v>
      </c>
      <c r="Z175" s="4">
        <v>53337</v>
      </c>
      <c r="AA175" s="4"/>
    </row>
    <row r="176" spans="4:27" ht="15">
      <c r="D176" s="28"/>
      <c r="E176" s="28"/>
      <c r="F176" s="28"/>
      <c r="H176" s="17"/>
      <c r="I176" s="17"/>
      <c r="J176" s="17"/>
      <c r="K176" s="17" t="s">
        <v>159</v>
      </c>
      <c r="L176" s="17"/>
      <c r="M176" s="17"/>
      <c r="Y176" s="4" t="s">
        <v>6</v>
      </c>
      <c r="Z176" s="4">
        <v>5360</v>
      </c>
      <c r="AA176" s="4"/>
    </row>
    <row r="177" spans="4:27" ht="15">
      <c r="D177" s="28"/>
      <c r="E177" s="28"/>
      <c r="F177" s="28"/>
      <c r="H177" s="17"/>
      <c r="I177" s="17"/>
      <c r="J177" s="17"/>
      <c r="K177" s="17"/>
      <c r="L177" s="17"/>
      <c r="M177" s="17"/>
      <c r="Y177" s="4" t="s">
        <v>6</v>
      </c>
      <c r="Z177" s="4">
        <v>5360</v>
      </c>
      <c r="AA177" s="4"/>
    </row>
    <row r="178" spans="4:27" ht="15">
      <c r="D178" s="28"/>
      <c r="E178" s="28"/>
      <c r="F178" s="28"/>
      <c r="H178" s="17"/>
      <c r="I178" s="17"/>
      <c r="J178" s="17"/>
      <c r="K178" s="17"/>
      <c r="L178" s="17"/>
      <c r="M178" s="17"/>
      <c r="Y178" s="4" t="s">
        <v>6</v>
      </c>
      <c r="Z178" s="4">
        <v>5360</v>
      </c>
      <c r="AA178" s="4"/>
    </row>
    <row r="179" spans="4:27" ht="15">
      <c r="D179" s="28"/>
      <c r="E179" s="28"/>
      <c r="F179" s="28"/>
      <c r="H179" s="17"/>
      <c r="I179" s="17"/>
      <c r="J179" s="17"/>
      <c r="K179" s="17" t="s">
        <v>160</v>
      </c>
      <c r="L179" s="17"/>
      <c r="M179" s="17"/>
      <c r="Y179" s="4" t="s">
        <v>6</v>
      </c>
      <c r="Z179" s="4">
        <v>5360</v>
      </c>
      <c r="AA179" s="4"/>
    </row>
    <row r="180" spans="4:27" ht="15">
      <c r="D180" s="28"/>
      <c r="E180" s="28"/>
      <c r="F180" s="28"/>
      <c r="H180" s="17"/>
      <c r="I180" s="17"/>
      <c r="J180" s="17"/>
      <c r="K180" s="17"/>
      <c r="L180" s="17"/>
      <c r="M180" s="17"/>
      <c r="Y180" s="4" t="s">
        <v>6</v>
      </c>
      <c r="Z180" s="4">
        <v>5360</v>
      </c>
      <c r="AA180" s="4"/>
    </row>
    <row r="181" spans="4:27" ht="15">
      <c r="D181" s="28"/>
      <c r="E181" s="28"/>
      <c r="F181" s="28"/>
      <c r="H181" s="17"/>
      <c r="I181" s="17"/>
      <c r="J181" s="17"/>
      <c r="K181" s="17"/>
      <c r="L181" s="17"/>
      <c r="M181" s="17"/>
      <c r="Y181" s="4" t="s">
        <v>6</v>
      </c>
      <c r="Z181" s="4">
        <v>5360</v>
      </c>
      <c r="AA181" s="4"/>
    </row>
    <row r="182" spans="4:27" ht="15">
      <c r="D182" s="28"/>
      <c r="E182" s="28"/>
      <c r="F182" s="28"/>
      <c r="H182" s="17"/>
      <c r="I182" s="17"/>
      <c r="J182" s="17"/>
      <c r="K182" s="17" t="s">
        <v>161</v>
      </c>
      <c r="L182" s="17" t="s">
        <v>162</v>
      </c>
      <c r="M182" s="17"/>
      <c r="Y182" s="4" t="s">
        <v>6</v>
      </c>
      <c r="Z182" s="4">
        <v>5360</v>
      </c>
      <c r="AA182" s="4"/>
    </row>
    <row r="183" spans="4:27" ht="15">
      <c r="D183" s="28"/>
      <c r="E183" s="28"/>
      <c r="F183" s="28"/>
      <c r="H183" s="17"/>
      <c r="I183" s="17"/>
      <c r="J183" s="17"/>
      <c r="K183" s="17"/>
      <c r="L183" s="17"/>
      <c r="M183" s="17"/>
      <c r="Y183" s="4" t="s">
        <v>6</v>
      </c>
      <c r="Z183" s="4">
        <v>5360</v>
      </c>
      <c r="AA183" s="4"/>
    </row>
    <row r="184" spans="4:27" ht="15">
      <c r="D184" s="28"/>
      <c r="E184" s="28"/>
      <c r="F184" s="28"/>
      <c r="H184" s="17"/>
      <c r="I184" s="17"/>
      <c r="J184" s="17"/>
      <c r="K184" s="17"/>
      <c r="L184" s="17"/>
      <c r="M184" s="17"/>
      <c r="Y184" s="4" t="s">
        <v>6</v>
      </c>
      <c r="Z184" s="4">
        <v>5360</v>
      </c>
      <c r="AA184" s="4"/>
    </row>
    <row r="185" spans="4:27" ht="15">
      <c r="D185" s="28"/>
      <c r="E185" s="28"/>
      <c r="F185" s="28"/>
      <c r="H185" s="17"/>
      <c r="I185" s="17"/>
      <c r="J185" s="17"/>
      <c r="K185" s="17"/>
      <c r="L185" s="17"/>
      <c r="M185" s="17"/>
      <c r="Y185" s="4" t="s">
        <v>6</v>
      </c>
      <c r="Z185" s="4">
        <v>5360</v>
      </c>
      <c r="AA185" s="4"/>
    </row>
    <row r="186" spans="4:27" ht="15">
      <c r="D186" s="28"/>
      <c r="E186" s="28"/>
      <c r="F186" s="28"/>
      <c r="H186" s="17"/>
      <c r="I186" s="17"/>
      <c r="J186" s="17"/>
      <c r="K186" s="17"/>
      <c r="L186" s="17"/>
      <c r="M186" s="17"/>
      <c r="Y186" s="4" t="s">
        <v>6</v>
      </c>
      <c r="Z186" s="4">
        <v>5360</v>
      </c>
      <c r="AA186" s="4"/>
    </row>
    <row r="187" spans="4:27" ht="15">
      <c r="D187" s="28"/>
      <c r="E187" s="28"/>
      <c r="F187" s="28"/>
      <c r="H187" s="17"/>
      <c r="I187" s="17"/>
      <c r="J187" s="17"/>
      <c r="K187" s="17"/>
      <c r="L187" s="17"/>
      <c r="M187" s="17"/>
      <c r="Y187" s="4" t="s">
        <v>6</v>
      </c>
      <c r="Z187" s="4">
        <v>5360</v>
      </c>
      <c r="AA187" s="4"/>
    </row>
    <row r="188" spans="4:27" ht="15">
      <c r="D188" s="28"/>
      <c r="E188" s="28"/>
      <c r="F188" s="28"/>
      <c r="H188" s="17"/>
      <c r="I188" s="17"/>
      <c r="J188" s="17"/>
      <c r="K188" s="17"/>
      <c r="L188" s="17"/>
      <c r="M188" s="17"/>
      <c r="Y188" s="4" t="s">
        <v>6</v>
      </c>
      <c r="Z188" s="4">
        <v>5360</v>
      </c>
      <c r="AA188" s="4"/>
    </row>
    <row r="189" spans="4:27" ht="15">
      <c r="D189" s="28"/>
      <c r="E189" s="28"/>
      <c r="F189" s="28"/>
      <c r="H189" s="17"/>
      <c r="I189" s="17"/>
      <c r="J189" s="17"/>
      <c r="K189" s="17"/>
      <c r="L189" s="17"/>
      <c r="M189" s="17"/>
      <c r="Y189" s="4" t="s">
        <v>6</v>
      </c>
      <c r="Z189" s="4">
        <v>5360</v>
      </c>
      <c r="AA189" s="4"/>
    </row>
    <row r="190" spans="4:27" ht="15">
      <c r="D190" s="28"/>
      <c r="E190" s="28"/>
      <c r="F190" s="28"/>
      <c r="H190" s="17"/>
      <c r="I190" s="17"/>
      <c r="J190" s="17"/>
      <c r="K190" s="17"/>
      <c r="L190" s="17"/>
      <c r="M190" s="17"/>
      <c r="Y190" s="4" t="s">
        <v>6</v>
      </c>
      <c r="Z190" s="4">
        <v>5361</v>
      </c>
      <c r="AA190" s="4"/>
    </row>
    <row r="191" spans="4:27" ht="15">
      <c r="D191" s="28"/>
      <c r="E191" s="28"/>
      <c r="F191" s="28"/>
      <c r="H191" s="17"/>
      <c r="I191" s="17"/>
      <c r="J191" s="17"/>
      <c r="K191" s="17"/>
      <c r="L191" s="17"/>
      <c r="M191" s="17"/>
      <c r="Y191" s="4" t="s">
        <v>6</v>
      </c>
      <c r="Z191" s="4">
        <v>5361</v>
      </c>
      <c r="AA191" s="4"/>
    </row>
    <row r="192" spans="4:27" ht="15">
      <c r="D192" s="28"/>
      <c r="E192" s="28"/>
      <c r="F192" s="28"/>
      <c r="H192" s="17"/>
      <c r="I192" s="17"/>
      <c r="J192" s="17"/>
      <c r="K192" s="17"/>
      <c r="L192" s="17"/>
      <c r="M192" s="17"/>
      <c r="Y192" s="4" t="s">
        <v>6</v>
      </c>
      <c r="Z192" s="4">
        <v>5361</v>
      </c>
      <c r="AA192" s="4"/>
    </row>
    <row r="193" spans="4:27" ht="15">
      <c r="D193" s="28"/>
      <c r="E193" s="28"/>
      <c r="F193" s="28"/>
      <c r="H193" s="17"/>
      <c r="I193" s="17"/>
      <c r="J193" s="17"/>
      <c r="K193" s="17" t="s">
        <v>163</v>
      </c>
      <c r="L193" s="17"/>
      <c r="M193" s="17"/>
      <c r="Y193" s="4" t="s">
        <v>6</v>
      </c>
      <c r="Z193" s="4">
        <v>5361</v>
      </c>
      <c r="AA193" s="4"/>
    </row>
    <row r="194" spans="4:27" ht="15">
      <c r="D194" s="28"/>
      <c r="E194" s="28"/>
      <c r="F194" s="28"/>
      <c r="H194" s="17"/>
      <c r="I194" s="17"/>
      <c r="J194" s="17"/>
      <c r="K194" s="17"/>
      <c r="L194" s="17"/>
      <c r="M194" s="17"/>
      <c r="Y194" s="4" t="s">
        <v>6</v>
      </c>
      <c r="Z194" s="4">
        <v>5361</v>
      </c>
      <c r="AA194" s="4"/>
    </row>
    <row r="195" spans="4:27" ht="15">
      <c r="D195" s="28"/>
      <c r="E195" s="28"/>
      <c r="F195" s="28"/>
      <c r="H195" s="17"/>
      <c r="I195" s="17"/>
      <c r="J195" s="17"/>
      <c r="K195" s="17"/>
      <c r="L195" s="17"/>
      <c r="M195" s="17"/>
      <c r="Y195" s="4" t="s">
        <v>6</v>
      </c>
      <c r="Z195" s="4">
        <v>5361</v>
      </c>
      <c r="AA195" s="4"/>
    </row>
    <row r="196" spans="4:27" ht="15">
      <c r="D196" s="28"/>
      <c r="E196" s="28"/>
      <c r="F196" s="28"/>
      <c r="H196" s="17"/>
      <c r="I196" s="17"/>
      <c r="J196" s="17"/>
      <c r="K196" s="17"/>
      <c r="L196" s="17"/>
      <c r="M196" s="17"/>
      <c r="Y196" s="4" t="s">
        <v>6</v>
      </c>
      <c r="Z196" s="4">
        <v>5361</v>
      </c>
      <c r="AA196" s="4"/>
    </row>
    <row r="197" spans="4:27" ht="15">
      <c r="D197" s="28"/>
      <c r="E197" s="28"/>
      <c r="F197" s="28"/>
      <c r="H197" s="17"/>
      <c r="I197" s="17"/>
      <c r="J197" s="17"/>
      <c r="K197" s="17"/>
      <c r="L197" s="17"/>
      <c r="M197" s="17"/>
      <c r="Y197" s="4" t="s">
        <v>6</v>
      </c>
      <c r="Z197" s="4">
        <v>5361</v>
      </c>
      <c r="AA197" s="4"/>
    </row>
    <row r="198" spans="4:27" ht="15">
      <c r="D198" s="28"/>
      <c r="E198" s="28"/>
      <c r="F198" s="28"/>
      <c r="H198" s="17"/>
      <c r="I198" s="17"/>
      <c r="J198" s="17"/>
      <c r="K198" s="17"/>
      <c r="L198" s="17"/>
      <c r="M198" s="17"/>
      <c r="Y198" s="4" t="s">
        <v>6</v>
      </c>
      <c r="Z198" s="4">
        <v>5361</v>
      </c>
      <c r="AA198" s="4"/>
    </row>
    <row r="199" spans="4:27" ht="15">
      <c r="D199" s="28"/>
      <c r="E199" s="28"/>
      <c r="F199" s="28"/>
      <c r="H199" s="17"/>
      <c r="I199" s="17"/>
      <c r="J199" s="17"/>
      <c r="K199" s="17"/>
      <c r="L199" s="17"/>
      <c r="M199" s="17"/>
      <c r="Y199" s="4" t="s">
        <v>6</v>
      </c>
      <c r="Z199" s="4">
        <v>5361</v>
      </c>
      <c r="AA199" s="4"/>
    </row>
    <row r="200" spans="4:27" ht="15">
      <c r="D200" s="28"/>
      <c r="E200" s="28"/>
      <c r="F200" s="28"/>
      <c r="H200" s="17"/>
      <c r="I200" s="17"/>
      <c r="J200" s="17"/>
      <c r="K200" s="17" t="s">
        <v>137</v>
      </c>
      <c r="L200" s="17"/>
      <c r="M200" s="17"/>
      <c r="Y200" s="4" t="s">
        <v>6</v>
      </c>
      <c r="Z200" s="4">
        <v>5361</v>
      </c>
      <c r="AA200" s="4"/>
    </row>
    <row r="201" spans="4:27" ht="15">
      <c r="D201" s="28"/>
      <c r="E201" s="28"/>
      <c r="F201" s="28"/>
      <c r="H201" s="17"/>
      <c r="I201" s="17"/>
      <c r="J201" s="17"/>
      <c r="K201" s="17"/>
      <c r="L201" s="17"/>
      <c r="M201" s="17"/>
      <c r="Y201" s="4" t="s">
        <v>6</v>
      </c>
      <c r="Z201" s="4">
        <v>5361</v>
      </c>
      <c r="AA201" s="4"/>
    </row>
    <row r="202" spans="4:27" ht="15">
      <c r="D202" s="28"/>
      <c r="E202" s="28"/>
      <c r="F202" s="28"/>
      <c r="H202" s="17"/>
      <c r="I202" s="17"/>
      <c r="J202" s="17"/>
      <c r="K202" s="17"/>
      <c r="L202" s="17"/>
      <c r="M202" s="17"/>
      <c r="Y202" s="4" t="s">
        <v>6</v>
      </c>
      <c r="Z202" s="4">
        <v>5361</v>
      </c>
      <c r="AA202" s="4"/>
    </row>
    <row r="203" spans="4:27" ht="15">
      <c r="D203" s="28"/>
      <c r="E203" s="28"/>
      <c r="F203" s="28"/>
      <c r="H203" s="17"/>
      <c r="I203" s="17"/>
      <c r="J203" s="17"/>
      <c r="K203" s="17"/>
      <c r="L203" s="17"/>
      <c r="M203" s="17"/>
      <c r="Y203" s="4" t="s">
        <v>6</v>
      </c>
      <c r="Z203" s="4">
        <v>5361</v>
      </c>
      <c r="AA203" s="4"/>
    </row>
    <row r="204" spans="4:27" ht="15">
      <c r="D204" s="28"/>
      <c r="E204" s="28"/>
      <c r="F204" s="28"/>
      <c r="H204" s="17"/>
      <c r="I204" s="17"/>
      <c r="J204" s="17"/>
      <c r="K204" s="17"/>
      <c r="L204" s="17"/>
      <c r="M204" s="17"/>
      <c r="Y204" s="4" t="s">
        <v>6</v>
      </c>
      <c r="Z204" s="4">
        <v>5361</v>
      </c>
      <c r="AA204" s="4"/>
    </row>
    <row r="205" spans="4:27" ht="15">
      <c r="D205" s="28"/>
      <c r="E205" s="28"/>
      <c r="F205" s="28"/>
      <c r="H205" s="17"/>
      <c r="I205" s="17"/>
      <c r="J205" s="17"/>
      <c r="K205" s="17"/>
      <c r="L205" s="17"/>
      <c r="M205" s="17"/>
      <c r="Y205" s="4" t="s">
        <v>6</v>
      </c>
      <c r="Z205" s="4">
        <v>5361</v>
      </c>
      <c r="AA205" s="4"/>
    </row>
    <row r="206" spans="4:27" ht="15">
      <c r="D206" s="28"/>
      <c r="E206" s="28"/>
      <c r="F206" s="28"/>
      <c r="H206" s="17"/>
      <c r="I206" s="17"/>
      <c r="J206" s="17"/>
      <c r="K206" s="17"/>
      <c r="L206" s="17"/>
      <c r="M206" s="17"/>
      <c r="Y206" s="4" t="s">
        <v>6</v>
      </c>
      <c r="Z206" s="4">
        <v>5361</v>
      </c>
      <c r="AA206" s="4"/>
    </row>
    <row r="207" spans="4:27" ht="15">
      <c r="D207" s="28"/>
      <c r="E207" s="28"/>
      <c r="F207" s="28"/>
      <c r="H207" s="17"/>
      <c r="I207" s="17"/>
      <c r="J207" s="17"/>
      <c r="K207" s="17"/>
      <c r="L207" s="17"/>
      <c r="M207" s="17"/>
      <c r="Y207" s="4" t="s">
        <v>6</v>
      </c>
      <c r="Z207" s="4">
        <v>5361</v>
      </c>
      <c r="AA207" s="4"/>
    </row>
    <row r="208" spans="4:27" ht="15">
      <c r="D208" s="28"/>
      <c r="E208" s="28"/>
      <c r="F208" s="28"/>
      <c r="H208" s="17"/>
      <c r="I208" s="17"/>
      <c r="J208" s="17"/>
      <c r="K208" s="17"/>
      <c r="L208" s="17"/>
      <c r="M208" s="17"/>
      <c r="Y208" s="4" t="s">
        <v>6</v>
      </c>
      <c r="Z208" s="4">
        <v>5361</v>
      </c>
      <c r="AA208" s="4"/>
    </row>
    <row r="209" spans="4:27" ht="15">
      <c r="D209" s="28"/>
      <c r="E209" s="28"/>
      <c r="F209" s="28"/>
      <c r="H209" s="17"/>
      <c r="I209" s="17"/>
      <c r="J209" s="17"/>
      <c r="K209" s="17"/>
      <c r="L209" s="17"/>
      <c r="M209" s="17"/>
      <c r="Y209" s="4" t="s">
        <v>6</v>
      </c>
      <c r="Z209" s="4">
        <v>5361</v>
      </c>
      <c r="AA209" s="4"/>
    </row>
    <row r="210" spans="4:27" ht="15">
      <c r="D210" s="28"/>
      <c r="E210" s="28"/>
      <c r="F210" s="28"/>
      <c r="H210" s="17"/>
      <c r="I210" s="17"/>
      <c r="J210" s="17"/>
      <c r="K210" s="17"/>
      <c r="L210" s="17"/>
      <c r="M210" s="17"/>
      <c r="Y210" s="4" t="s">
        <v>6</v>
      </c>
      <c r="Z210" s="4">
        <v>5361</v>
      </c>
      <c r="AA210" s="4"/>
    </row>
    <row r="211" spans="4:27" ht="15">
      <c r="D211" s="28"/>
      <c r="E211" s="28"/>
      <c r="F211" s="28"/>
      <c r="H211" s="17"/>
      <c r="I211" s="17"/>
      <c r="J211" s="17"/>
      <c r="K211" s="17"/>
      <c r="L211" s="17"/>
      <c r="M211" s="17"/>
      <c r="Y211" s="4" t="s">
        <v>6</v>
      </c>
      <c r="Z211" s="4">
        <v>5361</v>
      </c>
      <c r="AA211" s="4"/>
    </row>
    <row r="212" spans="4:27" ht="15">
      <c r="D212" s="28"/>
      <c r="E212" s="28"/>
      <c r="F212" s="28"/>
      <c r="H212" s="17"/>
      <c r="I212" s="17"/>
      <c r="J212" s="17"/>
      <c r="K212" s="17"/>
      <c r="L212" s="17"/>
      <c r="M212" s="17"/>
      <c r="Y212" s="4" t="s">
        <v>6</v>
      </c>
      <c r="Z212" s="4">
        <v>5361</v>
      </c>
      <c r="AA212" s="4"/>
    </row>
    <row r="213" spans="4:27" ht="15">
      <c r="D213" s="28"/>
      <c r="E213" s="28"/>
      <c r="F213" s="28"/>
      <c r="H213" s="17"/>
      <c r="I213" s="17"/>
      <c r="J213" s="17"/>
      <c r="K213" s="17"/>
      <c r="L213" s="17"/>
      <c r="M213" s="17"/>
      <c r="Y213" s="4" t="s">
        <v>6</v>
      </c>
      <c r="Z213" s="4">
        <v>5361</v>
      </c>
      <c r="AA213" s="4"/>
    </row>
    <row r="214" spans="4:27" ht="15">
      <c r="D214" s="28"/>
      <c r="E214" s="28"/>
      <c r="F214" s="28"/>
      <c r="H214" s="17"/>
      <c r="I214" s="17"/>
      <c r="J214" s="17"/>
      <c r="K214" s="17"/>
      <c r="L214" s="17"/>
      <c r="M214" s="17"/>
      <c r="Y214" s="4" t="s">
        <v>6</v>
      </c>
      <c r="Z214" s="4">
        <v>5361</v>
      </c>
      <c r="AA214" s="4"/>
    </row>
    <row r="215" spans="4:27" ht="15">
      <c r="D215" s="28"/>
      <c r="E215" s="28"/>
      <c r="F215" s="28"/>
      <c r="H215" s="17"/>
      <c r="I215" s="17"/>
      <c r="J215" s="17"/>
      <c r="K215" s="17"/>
      <c r="L215" s="17"/>
      <c r="M215" s="17"/>
      <c r="Y215" s="4" t="s">
        <v>6</v>
      </c>
      <c r="Z215" s="4">
        <v>5361</v>
      </c>
      <c r="AA215" s="4"/>
    </row>
    <row r="216" spans="4:27" ht="15">
      <c r="D216" s="28"/>
      <c r="E216" s="28"/>
      <c r="F216" s="28"/>
      <c r="H216" s="17"/>
      <c r="I216" s="17"/>
      <c r="J216" s="17"/>
      <c r="K216" s="17"/>
      <c r="L216" s="17"/>
      <c r="M216" s="17"/>
      <c r="Y216" s="4" t="s">
        <v>6</v>
      </c>
      <c r="Z216" s="4">
        <v>5361</v>
      </c>
      <c r="AA216" s="4"/>
    </row>
    <row r="217" spans="4:27" ht="15">
      <c r="D217" s="28"/>
      <c r="E217" s="28"/>
      <c r="F217" s="28"/>
      <c r="H217" s="17"/>
      <c r="I217" s="17"/>
      <c r="J217" s="17"/>
      <c r="K217" s="17" t="s">
        <v>164</v>
      </c>
      <c r="L217" s="17" t="s">
        <v>158</v>
      </c>
      <c r="M217" s="17"/>
      <c r="Y217" s="4" t="s">
        <v>6</v>
      </c>
      <c r="Z217" s="4">
        <v>5361</v>
      </c>
      <c r="AA217" s="4"/>
    </row>
    <row r="218" spans="4:27" ht="15">
      <c r="D218" s="28"/>
      <c r="E218" s="28"/>
      <c r="F218" s="28"/>
      <c r="H218" s="17"/>
      <c r="I218" s="17"/>
      <c r="J218" s="17"/>
      <c r="K218" s="17"/>
      <c r="L218" s="17"/>
      <c r="M218" s="17"/>
      <c r="Y218" s="4" t="s">
        <v>6</v>
      </c>
      <c r="Z218" s="4">
        <v>5361</v>
      </c>
      <c r="AA218" s="4"/>
    </row>
    <row r="219" spans="4:27" ht="15">
      <c r="D219" s="28"/>
      <c r="E219" s="28"/>
      <c r="F219" s="28"/>
      <c r="H219" s="17"/>
      <c r="I219" s="17"/>
      <c r="J219" s="17"/>
      <c r="K219" s="17" t="s">
        <v>165</v>
      </c>
      <c r="L219" s="17" t="s">
        <v>158</v>
      </c>
      <c r="M219" s="17"/>
      <c r="Y219" s="4" t="s">
        <v>6</v>
      </c>
      <c r="Z219" s="4">
        <v>5361</v>
      </c>
      <c r="AA219" s="4"/>
    </row>
    <row r="220" spans="4:27" ht="15">
      <c r="D220" s="28"/>
      <c r="E220" s="28"/>
      <c r="F220" s="28"/>
      <c r="H220" s="17"/>
      <c r="I220" s="17"/>
      <c r="J220" s="17"/>
      <c r="K220" s="17"/>
      <c r="L220" s="17"/>
      <c r="M220" s="17"/>
      <c r="Y220" s="4" t="s">
        <v>6</v>
      </c>
      <c r="Z220" s="4">
        <v>5361</v>
      </c>
      <c r="AA220" s="4"/>
    </row>
    <row r="221" spans="4:27" ht="15">
      <c r="D221" s="28"/>
      <c r="E221" s="28"/>
      <c r="F221" s="28"/>
      <c r="H221" s="17"/>
      <c r="I221" s="17"/>
      <c r="J221" s="17"/>
      <c r="K221" s="17"/>
      <c r="L221" s="17"/>
      <c r="M221" s="17"/>
      <c r="Y221" s="4" t="s">
        <v>6</v>
      </c>
      <c r="Z221" s="4">
        <v>5361</v>
      </c>
      <c r="AA221" s="4"/>
    </row>
    <row r="222" spans="4:27" ht="15">
      <c r="D222" s="28"/>
      <c r="E222" s="28"/>
      <c r="F222" s="28"/>
      <c r="H222" s="17"/>
      <c r="I222" s="17"/>
      <c r="J222" s="17"/>
      <c r="K222" s="17"/>
      <c r="L222" s="17"/>
      <c r="M222" s="17"/>
      <c r="Y222" s="4" t="s">
        <v>6</v>
      </c>
      <c r="Z222" s="4">
        <v>5361</v>
      </c>
      <c r="AA222" s="4"/>
    </row>
    <row r="223" spans="4:27" ht="15">
      <c r="D223" s="28"/>
      <c r="E223" s="28"/>
      <c r="F223" s="28"/>
      <c r="H223" s="17"/>
      <c r="I223" s="17"/>
      <c r="J223" s="17"/>
      <c r="K223" s="17"/>
      <c r="L223" s="17"/>
      <c r="M223" s="17"/>
      <c r="Y223" s="4" t="s">
        <v>6</v>
      </c>
      <c r="Z223" s="4">
        <v>5361</v>
      </c>
      <c r="AA223" s="4"/>
    </row>
    <row r="224" spans="4:27" ht="15">
      <c r="D224" s="28"/>
      <c r="E224" s="28"/>
      <c r="F224" s="28"/>
      <c r="H224" s="17"/>
      <c r="I224" s="17"/>
      <c r="J224" s="17"/>
      <c r="K224" s="17"/>
      <c r="L224" s="17"/>
      <c r="M224" s="17"/>
      <c r="Y224" s="4" t="s">
        <v>6</v>
      </c>
      <c r="Z224" s="4">
        <v>5361</v>
      </c>
      <c r="AA224" s="4"/>
    </row>
    <row r="225" spans="4:27" ht="15">
      <c r="D225" s="28"/>
      <c r="E225" s="28"/>
      <c r="F225" s="28"/>
      <c r="H225" s="17"/>
      <c r="I225" s="17"/>
      <c r="J225" s="17"/>
      <c r="K225" s="17"/>
      <c r="L225" s="17"/>
      <c r="M225" s="17"/>
      <c r="Y225" s="4" t="s">
        <v>6</v>
      </c>
      <c r="Z225" s="4">
        <v>5361</v>
      </c>
      <c r="AA225" s="4"/>
    </row>
    <row r="226" spans="4:27" ht="15">
      <c r="D226" s="28"/>
      <c r="E226" s="28"/>
      <c r="F226" s="28"/>
      <c r="H226" s="17"/>
      <c r="I226" s="17"/>
      <c r="J226" s="17"/>
      <c r="K226" s="17"/>
      <c r="L226" s="17"/>
      <c r="M226" s="17"/>
      <c r="Y226" s="4" t="s">
        <v>6</v>
      </c>
      <c r="Z226" s="4">
        <v>5361</v>
      </c>
      <c r="AA226" s="4"/>
    </row>
    <row r="227" spans="4:27" ht="15">
      <c r="D227" s="28"/>
      <c r="E227" s="28"/>
      <c r="F227" s="28"/>
      <c r="H227" s="17"/>
      <c r="I227" s="17"/>
      <c r="J227" s="17"/>
      <c r="K227" s="17"/>
      <c r="L227" s="17"/>
      <c r="M227" s="17"/>
      <c r="Y227" s="4" t="s">
        <v>6</v>
      </c>
      <c r="Z227" s="4">
        <v>5361</v>
      </c>
      <c r="AA227" s="4"/>
    </row>
    <row r="228" spans="4:27" ht="15">
      <c r="D228" s="28"/>
      <c r="E228" s="28"/>
      <c r="F228" s="28"/>
      <c r="H228" s="17"/>
      <c r="I228" s="17"/>
      <c r="J228" s="17"/>
      <c r="K228" s="17"/>
      <c r="L228" s="17"/>
      <c r="M228" s="17"/>
      <c r="Y228" s="4" t="s">
        <v>6</v>
      </c>
      <c r="Z228" s="4">
        <v>5361</v>
      </c>
      <c r="AA228" s="4"/>
    </row>
    <row r="229" spans="4:27" ht="15">
      <c r="D229" s="28"/>
      <c r="E229" s="28"/>
      <c r="F229" s="28"/>
      <c r="H229" s="17"/>
      <c r="I229" s="17"/>
      <c r="J229" s="17"/>
      <c r="K229" s="17"/>
      <c r="L229" s="17"/>
      <c r="M229" s="17"/>
      <c r="Y229" s="4" t="s">
        <v>6</v>
      </c>
      <c r="Z229" s="4">
        <v>5361</v>
      </c>
      <c r="AA229" s="4"/>
    </row>
    <row r="230" spans="4:27" ht="15">
      <c r="D230" s="28"/>
      <c r="E230" s="28"/>
      <c r="F230" s="28"/>
      <c r="H230" s="17"/>
      <c r="I230" s="17"/>
      <c r="J230" s="17"/>
      <c r="K230" s="17"/>
      <c r="L230" s="17"/>
      <c r="M230" s="17"/>
      <c r="Y230" s="4" t="s">
        <v>6</v>
      </c>
      <c r="Z230" s="4">
        <v>5361</v>
      </c>
      <c r="AA230" s="4"/>
    </row>
    <row r="231" spans="4:27" ht="15">
      <c r="D231" s="28"/>
      <c r="E231" s="28"/>
      <c r="F231" s="28"/>
      <c r="H231" s="17"/>
      <c r="I231" s="17"/>
      <c r="J231" s="17"/>
      <c r="K231" s="17"/>
      <c r="L231" s="17"/>
      <c r="M231" s="17"/>
      <c r="Y231" s="4" t="s">
        <v>6</v>
      </c>
      <c r="Z231" s="4">
        <v>5361</v>
      </c>
      <c r="AA231" s="4"/>
    </row>
    <row r="232" spans="4:27" ht="15">
      <c r="D232" s="28"/>
      <c r="E232" s="28"/>
      <c r="F232" s="28"/>
      <c r="H232" s="17"/>
      <c r="I232" s="17"/>
      <c r="J232" s="17"/>
      <c r="K232" s="17"/>
      <c r="L232" s="17"/>
      <c r="M232" s="17"/>
      <c r="Y232" s="4" t="s">
        <v>6</v>
      </c>
      <c r="Z232" s="4">
        <v>5361</v>
      </c>
      <c r="AA232" s="4"/>
    </row>
    <row r="233" spans="4:27" ht="15">
      <c r="D233" s="28"/>
      <c r="E233" s="28"/>
      <c r="F233" s="28"/>
      <c r="H233" s="17"/>
      <c r="I233" s="17"/>
      <c r="J233" s="17"/>
      <c r="K233" s="17"/>
      <c r="L233" s="17"/>
      <c r="M233" s="17"/>
      <c r="Y233" s="4" t="s">
        <v>6</v>
      </c>
      <c r="Z233" s="4">
        <v>5361</v>
      </c>
      <c r="AA233" s="4"/>
    </row>
    <row r="234" spans="4:27" ht="15">
      <c r="D234" s="28"/>
      <c r="E234" s="28"/>
      <c r="F234" s="28"/>
      <c r="H234" s="17"/>
      <c r="I234" s="17"/>
      <c r="J234" s="17"/>
      <c r="K234" s="17"/>
      <c r="L234" s="17"/>
      <c r="M234" s="17"/>
      <c r="Y234" s="4" t="s">
        <v>6</v>
      </c>
      <c r="Z234" s="4">
        <v>5361</v>
      </c>
      <c r="AA234" s="4"/>
    </row>
    <row r="235" spans="4:27" ht="15">
      <c r="D235" s="28"/>
      <c r="E235" s="28"/>
      <c r="F235" s="28"/>
      <c r="H235" s="17"/>
      <c r="I235" s="17"/>
      <c r="J235" s="17"/>
      <c r="K235" s="17"/>
      <c r="L235" s="17"/>
      <c r="M235" s="17"/>
      <c r="Y235" s="4" t="s">
        <v>6</v>
      </c>
      <c r="Z235" s="4">
        <v>5361</v>
      </c>
      <c r="AA235" s="4"/>
    </row>
    <row r="236" spans="4:27" ht="15">
      <c r="D236" s="28"/>
      <c r="E236" s="28"/>
      <c r="F236" s="28"/>
      <c r="H236" s="17"/>
      <c r="I236" s="17"/>
      <c r="J236" s="17"/>
      <c r="K236" s="17"/>
      <c r="L236" s="17"/>
      <c r="M236" s="17"/>
      <c r="Y236" s="4" t="s">
        <v>6</v>
      </c>
      <c r="Z236" s="4">
        <v>5361</v>
      </c>
      <c r="AA236" s="4"/>
    </row>
    <row r="237" spans="4:27" ht="15">
      <c r="D237" s="28"/>
      <c r="E237" s="28"/>
      <c r="F237" s="28"/>
      <c r="H237" s="17"/>
      <c r="I237" s="17"/>
      <c r="J237" s="17"/>
      <c r="K237" s="17"/>
      <c r="L237" s="17"/>
      <c r="M237" s="17"/>
      <c r="Y237" s="4" t="s">
        <v>6</v>
      </c>
      <c r="Z237" s="4">
        <v>5361</v>
      </c>
      <c r="AA237" s="4"/>
    </row>
    <row r="238" spans="4:27" ht="15">
      <c r="D238" s="28"/>
      <c r="E238" s="28"/>
      <c r="F238" s="28"/>
      <c r="H238" s="17"/>
      <c r="I238" s="17"/>
      <c r="J238" s="17"/>
      <c r="K238" s="17" t="s">
        <v>166</v>
      </c>
      <c r="L238" s="17"/>
      <c r="M238" s="17"/>
      <c r="Y238" s="4" t="s">
        <v>6</v>
      </c>
      <c r="Z238" s="4">
        <v>5361</v>
      </c>
      <c r="AA238" s="4"/>
    </row>
    <row r="239" spans="4:27" ht="15">
      <c r="D239" s="28"/>
      <c r="E239" s="28"/>
      <c r="F239" s="28"/>
      <c r="H239" s="17"/>
      <c r="I239" s="17"/>
      <c r="J239" s="17"/>
      <c r="K239" s="17"/>
      <c r="L239" s="17"/>
      <c r="M239" s="17"/>
      <c r="Y239" s="4" t="s">
        <v>6</v>
      </c>
      <c r="Z239" s="4">
        <v>5361</v>
      </c>
      <c r="AA239" s="4"/>
    </row>
    <row r="240" spans="4:27" ht="15">
      <c r="D240" s="28"/>
      <c r="E240" s="28"/>
      <c r="F240" s="28"/>
      <c r="H240" s="17"/>
      <c r="I240" s="17"/>
      <c r="J240" s="17"/>
      <c r="K240" s="17"/>
      <c r="L240" s="17"/>
      <c r="M240" s="17"/>
      <c r="Y240" s="4" t="s">
        <v>6</v>
      </c>
      <c r="Z240" s="4">
        <v>5361</v>
      </c>
      <c r="AA240" s="4"/>
    </row>
    <row r="241" spans="4:27" ht="15">
      <c r="D241" s="28"/>
      <c r="E241" s="28"/>
      <c r="F241" s="28"/>
      <c r="H241" s="17"/>
      <c r="I241" s="17"/>
      <c r="J241" s="17"/>
      <c r="K241" s="17"/>
      <c r="L241" s="17"/>
      <c r="M241" s="17"/>
      <c r="Y241" s="4" t="s">
        <v>6</v>
      </c>
      <c r="Z241" s="4">
        <v>5361</v>
      </c>
      <c r="AA241" s="4"/>
    </row>
    <row r="242" spans="4:27" ht="15">
      <c r="D242" s="28"/>
      <c r="E242" s="28"/>
      <c r="F242" s="28"/>
      <c r="H242" s="17"/>
      <c r="I242" s="17"/>
      <c r="J242" s="17"/>
      <c r="K242" s="17"/>
      <c r="L242" s="17"/>
      <c r="M242" s="17"/>
      <c r="Y242" s="4" t="s">
        <v>6</v>
      </c>
      <c r="Z242" s="4">
        <v>5361</v>
      </c>
      <c r="AA242" s="4"/>
    </row>
    <row r="243" spans="4:27" ht="15">
      <c r="D243" s="28"/>
      <c r="E243" s="28"/>
      <c r="F243" s="28"/>
      <c r="H243" s="17"/>
      <c r="I243" s="17"/>
      <c r="J243" s="17"/>
      <c r="K243" s="17"/>
      <c r="L243" s="17"/>
      <c r="M243" s="17"/>
      <c r="Y243" s="4" t="s">
        <v>6</v>
      </c>
      <c r="Z243" s="4">
        <v>5361</v>
      </c>
      <c r="AA243" s="4"/>
    </row>
    <row r="244" spans="4:27" ht="15">
      <c r="D244" s="28"/>
      <c r="E244" s="28"/>
      <c r="F244" s="28"/>
      <c r="H244" s="17"/>
      <c r="I244" s="17"/>
      <c r="J244" s="17"/>
      <c r="K244" s="17"/>
      <c r="L244" s="17"/>
      <c r="M244" s="17"/>
      <c r="Y244" s="4" t="s">
        <v>6</v>
      </c>
      <c r="Z244" s="4">
        <v>5361</v>
      </c>
      <c r="AA244" s="4"/>
    </row>
    <row r="245" spans="4:27" ht="15">
      <c r="D245" s="28"/>
      <c r="E245" s="28"/>
      <c r="F245" s="28"/>
      <c r="H245" s="17"/>
      <c r="I245" s="17"/>
      <c r="J245" s="17"/>
      <c r="K245" s="17"/>
      <c r="L245" s="17"/>
      <c r="M245" s="17"/>
      <c r="Y245" s="4" t="s">
        <v>6</v>
      </c>
      <c r="Z245" s="4">
        <v>5361</v>
      </c>
      <c r="AA245" s="4"/>
    </row>
    <row r="246" spans="4:27" ht="15">
      <c r="D246" s="28"/>
      <c r="E246" s="28"/>
      <c r="F246" s="28"/>
      <c r="H246" s="17"/>
      <c r="I246" s="17"/>
      <c r="J246" s="17"/>
      <c r="K246" s="17"/>
      <c r="L246" s="17"/>
      <c r="M246" s="17"/>
      <c r="Y246" s="4" t="s">
        <v>6</v>
      </c>
      <c r="Z246" s="4">
        <v>5361</v>
      </c>
      <c r="AA246" s="4"/>
    </row>
    <row r="247" spans="4:27" ht="15">
      <c r="D247" s="28"/>
      <c r="E247" s="28"/>
      <c r="F247" s="28"/>
      <c r="H247" s="17"/>
      <c r="I247" s="17"/>
      <c r="J247" s="17"/>
      <c r="K247" s="17"/>
      <c r="L247" s="17"/>
      <c r="M247" s="17"/>
      <c r="Y247" s="4" t="s">
        <v>6</v>
      </c>
      <c r="Z247" s="4">
        <v>5361</v>
      </c>
      <c r="AA247" s="4"/>
    </row>
    <row r="248" spans="4:27" ht="15">
      <c r="D248" s="28"/>
      <c r="E248" s="28"/>
      <c r="F248" s="28"/>
      <c r="H248" s="17"/>
      <c r="I248" s="17"/>
      <c r="J248" s="17"/>
      <c r="K248" s="17"/>
      <c r="L248" s="17"/>
      <c r="M248" s="17"/>
      <c r="Y248" s="4" t="s">
        <v>6</v>
      </c>
      <c r="Z248" s="4">
        <v>5361</v>
      </c>
      <c r="AA248" s="4"/>
    </row>
    <row r="249" spans="4:27" ht="15">
      <c r="D249" s="28"/>
      <c r="E249" s="28"/>
      <c r="F249" s="28"/>
      <c r="H249" s="17"/>
      <c r="I249" s="17"/>
      <c r="J249" s="17"/>
      <c r="K249" s="17"/>
      <c r="L249" s="17"/>
      <c r="M249" s="17"/>
      <c r="Y249" s="4" t="s">
        <v>6</v>
      </c>
      <c r="Z249" s="4">
        <v>5361</v>
      </c>
      <c r="AA249" s="4"/>
    </row>
    <row r="250" spans="4:27" ht="15">
      <c r="D250" s="28"/>
      <c r="E250" s="28"/>
      <c r="F250" s="28"/>
      <c r="H250" s="17"/>
      <c r="I250" s="17"/>
      <c r="J250" s="17"/>
      <c r="K250" s="17"/>
      <c r="L250" s="17"/>
      <c r="M250" s="17"/>
      <c r="Y250" s="4" t="s">
        <v>6</v>
      </c>
      <c r="Z250" s="4">
        <v>5361</v>
      </c>
      <c r="AA250" s="4"/>
    </row>
    <row r="251" spans="4:27" ht="15">
      <c r="D251" s="28"/>
      <c r="E251" s="28"/>
      <c r="F251" s="28"/>
      <c r="H251" s="17"/>
      <c r="I251" s="17"/>
      <c r="J251" s="17"/>
      <c r="K251" s="17" t="s">
        <v>167</v>
      </c>
      <c r="L251" s="17"/>
      <c r="M251" s="17"/>
      <c r="Y251" s="4" t="s">
        <v>6</v>
      </c>
      <c r="Z251" s="4">
        <v>5361</v>
      </c>
      <c r="AA251" s="4"/>
    </row>
    <row r="252" spans="4:27" ht="15">
      <c r="D252" s="28"/>
      <c r="E252" s="28"/>
      <c r="F252" s="28"/>
      <c r="H252" s="17"/>
      <c r="I252" s="17"/>
      <c r="J252" s="17"/>
      <c r="K252" s="17"/>
      <c r="L252" s="17"/>
      <c r="M252" s="17"/>
      <c r="Y252" s="4" t="s">
        <v>6</v>
      </c>
      <c r="Z252" s="4">
        <v>5361</v>
      </c>
      <c r="AA252" s="4"/>
    </row>
    <row r="253" spans="4:27" ht="15">
      <c r="D253" s="28"/>
      <c r="E253" s="28"/>
      <c r="F253" s="28"/>
      <c r="H253" s="17"/>
      <c r="I253" s="17"/>
      <c r="J253" s="17"/>
      <c r="K253" s="17"/>
      <c r="L253" s="17"/>
      <c r="M253" s="17"/>
      <c r="Y253" s="4" t="s">
        <v>6</v>
      </c>
      <c r="Z253" s="4">
        <v>5361</v>
      </c>
      <c r="AA253" s="4"/>
    </row>
    <row r="254" spans="4:27" ht="15">
      <c r="D254" s="28"/>
      <c r="E254" s="28"/>
      <c r="F254" s="28"/>
      <c r="H254" s="17"/>
      <c r="I254" s="17"/>
      <c r="J254" s="17"/>
      <c r="K254" s="17"/>
      <c r="L254" s="17"/>
      <c r="M254" s="17"/>
      <c r="Y254" s="4" t="s">
        <v>6</v>
      </c>
      <c r="Z254" s="4">
        <v>5361</v>
      </c>
      <c r="AA254" s="4"/>
    </row>
    <row r="255" spans="4:27" ht="15">
      <c r="D255" s="28"/>
      <c r="E255" s="28"/>
      <c r="F255" s="28"/>
      <c r="H255" s="17"/>
      <c r="I255" s="17"/>
      <c r="J255" s="17"/>
      <c r="K255" s="17"/>
      <c r="L255" s="17"/>
      <c r="M255" s="17"/>
      <c r="Y255" s="4" t="s">
        <v>6</v>
      </c>
      <c r="Z255" s="4">
        <v>5361</v>
      </c>
      <c r="AA255" s="4"/>
    </row>
    <row r="256" spans="4:27" ht="15">
      <c r="D256" s="28"/>
      <c r="E256" s="28"/>
      <c r="F256" s="28"/>
      <c r="H256" s="17"/>
      <c r="I256" s="17"/>
      <c r="J256" s="17"/>
      <c r="K256" s="17"/>
      <c r="L256" s="17"/>
      <c r="M256" s="17"/>
      <c r="Y256" s="4" t="s">
        <v>6</v>
      </c>
      <c r="Z256" s="4">
        <v>5361</v>
      </c>
      <c r="AA256" s="4"/>
    </row>
    <row r="257" spans="4:27" ht="15">
      <c r="D257" s="28"/>
      <c r="E257" s="28"/>
      <c r="F257" s="28"/>
      <c r="H257" s="17"/>
      <c r="I257" s="17"/>
      <c r="J257" s="17"/>
      <c r="K257" s="17"/>
      <c r="L257" s="17"/>
      <c r="M257" s="17"/>
      <c r="Y257" s="4" t="s">
        <v>6</v>
      </c>
      <c r="Z257" s="4">
        <v>5361</v>
      </c>
      <c r="AA257" s="4"/>
    </row>
    <row r="258" spans="4:27" ht="15">
      <c r="D258" s="28"/>
      <c r="E258" s="28"/>
      <c r="F258" s="28"/>
      <c r="H258" s="17"/>
      <c r="I258" s="17"/>
      <c r="J258" s="17"/>
      <c r="K258" s="17"/>
      <c r="L258" s="17"/>
      <c r="M258" s="17"/>
      <c r="Y258" s="4" t="s">
        <v>6</v>
      </c>
      <c r="Z258" s="4">
        <v>5361</v>
      </c>
      <c r="AA258" s="4"/>
    </row>
    <row r="259" spans="4:27" ht="15">
      <c r="D259" s="28"/>
      <c r="E259" s="28"/>
      <c r="F259" s="28"/>
      <c r="H259" s="17"/>
      <c r="I259" s="17"/>
      <c r="J259" s="17"/>
      <c r="K259" s="17"/>
      <c r="L259" s="17"/>
      <c r="M259" s="17"/>
      <c r="Y259" s="4" t="s">
        <v>6</v>
      </c>
      <c r="Z259" s="4">
        <v>5361</v>
      </c>
      <c r="AA259" s="4"/>
    </row>
    <row r="260" spans="4:27" ht="15">
      <c r="D260" s="28"/>
      <c r="E260" s="28"/>
      <c r="F260" s="28"/>
      <c r="H260" s="17"/>
      <c r="I260" s="17"/>
      <c r="J260" s="17"/>
      <c r="K260" s="17"/>
      <c r="L260" s="17"/>
      <c r="M260" s="17"/>
      <c r="Y260" s="4" t="s">
        <v>6</v>
      </c>
      <c r="Z260" s="4">
        <v>5361</v>
      </c>
      <c r="AA260" s="4"/>
    </row>
    <row r="261" spans="4:27" ht="15">
      <c r="D261" s="28"/>
      <c r="E261" s="28"/>
      <c r="F261" s="28"/>
      <c r="H261" s="17"/>
      <c r="I261" s="17"/>
      <c r="J261" s="17"/>
      <c r="K261" s="17"/>
      <c r="L261" s="17"/>
      <c r="M261" s="17"/>
      <c r="Y261" s="4" t="s">
        <v>6</v>
      </c>
      <c r="Z261" s="4">
        <v>5361</v>
      </c>
      <c r="AA261" s="4"/>
    </row>
    <row r="262" spans="4:27" ht="15">
      <c r="D262" s="28"/>
      <c r="E262" s="28"/>
      <c r="F262" s="28"/>
      <c r="H262" s="17"/>
      <c r="I262" s="17"/>
      <c r="J262" s="17"/>
      <c r="K262" s="17"/>
      <c r="L262" s="17"/>
      <c r="M262" s="17"/>
      <c r="Y262" s="4" t="s">
        <v>6</v>
      </c>
      <c r="Z262" s="4">
        <v>5361</v>
      </c>
      <c r="AA262" s="4"/>
    </row>
    <row r="263" spans="4:27" ht="15">
      <c r="D263" s="28"/>
      <c r="E263" s="28"/>
      <c r="F263" s="28"/>
      <c r="H263" s="17"/>
      <c r="I263" s="17"/>
      <c r="J263" s="17"/>
      <c r="K263" s="17"/>
      <c r="L263" s="17"/>
      <c r="M263" s="17"/>
      <c r="Y263" s="4" t="s">
        <v>6</v>
      </c>
      <c r="Z263" s="4">
        <v>5361</v>
      </c>
      <c r="AA263" s="4"/>
    </row>
    <row r="264" spans="4:27" ht="15">
      <c r="D264" s="28"/>
      <c r="E264" s="28"/>
      <c r="F264" s="28"/>
      <c r="H264" s="17"/>
      <c r="I264" s="17"/>
      <c r="J264" s="17"/>
      <c r="K264" s="17"/>
      <c r="L264" s="17"/>
      <c r="M264" s="17"/>
      <c r="Y264" s="4" t="s">
        <v>6</v>
      </c>
      <c r="Z264" s="4">
        <v>5361</v>
      </c>
      <c r="AA264" s="4"/>
    </row>
    <row r="265" spans="4:27" ht="15">
      <c r="D265" s="28"/>
      <c r="E265" s="28"/>
      <c r="F265" s="28"/>
      <c r="H265" s="17"/>
      <c r="I265" s="17"/>
      <c r="J265" s="17"/>
      <c r="K265" s="17"/>
      <c r="L265" s="17"/>
      <c r="M265" s="17"/>
      <c r="Y265" s="4" t="s">
        <v>6</v>
      </c>
      <c r="Z265" s="4">
        <v>5361</v>
      </c>
      <c r="AA265" s="4"/>
    </row>
    <row r="266" spans="4:27" ht="15">
      <c r="D266" s="28"/>
      <c r="E266" s="28"/>
      <c r="F266" s="28"/>
      <c r="H266" s="17"/>
      <c r="I266" s="17"/>
      <c r="J266" s="17"/>
      <c r="K266" s="17"/>
      <c r="L266" s="17"/>
      <c r="M266" s="17"/>
      <c r="Y266" s="4" t="s">
        <v>6</v>
      </c>
      <c r="Z266" s="4">
        <v>5361</v>
      </c>
      <c r="AA266" s="4"/>
    </row>
    <row r="267" spans="4:27" ht="15">
      <c r="D267" s="28"/>
      <c r="E267" s="28"/>
      <c r="F267" s="28"/>
      <c r="H267" s="17"/>
      <c r="I267" s="17"/>
      <c r="J267" s="17"/>
      <c r="K267" s="17"/>
      <c r="L267" s="17"/>
      <c r="M267" s="17"/>
      <c r="Y267" s="4" t="s">
        <v>6</v>
      </c>
      <c r="Z267" s="4">
        <v>5361</v>
      </c>
      <c r="AA267" s="4"/>
    </row>
    <row r="268" spans="4:27" ht="15">
      <c r="D268" s="28"/>
      <c r="E268" s="28"/>
      <c r="F268" s="28"/>
      <c r="H268" s="17"/>
      <c r="I268" s="17"/>
      <c r="J268" s="17"/>
      <c r="K268" s="17"/>
      <c r="L268" s="17"/>
      <c r="M268" s="17"/>
      <c r="Y268" s="4" t="s">
        <v>6</v>
      </c>
      <c r="Z268" s="4">
        <v>5361</v>
      </c>
      <c r="AA268" s="4"/>
    </row>
    <row r="269" spans="4:27" ht="15">
      <c r="D269" s="28"/>
      <c r="E269" s="28"/>
      <c r="F269" s="28"/>
      <c r="H269" s="17"/>
      <c r="I269" s="17"/>
      <c r="J269" s="17"/>
      <c r="K269" s="17"/>
      <c r="L269" s="17"/>
      <c r="M269" s="17"/>
      <c r="Y269" s="4" t="s">
        <v>6</v>
      </c>
      <c r="Z269" s="4">
        <v>5361</v>
      </c>
      <c r="AA269" s="4"/>
    </row>
    <row r="270" spans="4:27" ht="15">
      <c r="D270" s="28"/>
      <c r="E270" s="28"/>
      <c r="F270" s="28"/>
      <c r="H270" s="17"/>
      <c r="I270" s="17"/>
      <c r="J270" s="17"/>
      <c r="K270" s="17"/>
      <c r="L270" s="17"/>
      <c r="M270" s="17"/>
      <c r="Y270" s="4" t="s">
        <v>6</v>
      </c>
      <c r="Z270" s="4">
        <v>5361</v>
      </c>
      <c r="AA270" s="4"/>
    </row>
    <row r="271" spans="4:27" ht="15">
      <c r="D271" s="28"/>
      <c r="E271" s="28"/>
      <c r="F271" s="28"/>
      <c r="H271" s="17"/>
      <c r="I271" s="17"/>
      <c r="J271" s="17"/>
      <c r="K271" s="17"/>
      <c r="L271" s="17"/>
      <c r="M271" s="17"/>
      <c r="Y271" s="4" t="s">
        <v>6</v>
      </c>
      <c r="Z271" s="4">
        <v>5361</v>
      </c>
      <c r="AA271" s="4"/>
    </row>
    <row r="272" spans="4:27" ht="15">
      <c r="D272" s="28"/>
      <c r="E272" s="28"/>
      <c r="F272" s="28"/>
      <c r="H272" s="17"/>
      <c r="I272" s="17"/>
      <c r="J272" s="17"/>
      <c r="K272" s="17"/>
      <c r="L272" s="17"/>
      <c r="M272" s="17"/>
      <c r="Y272" s="4" t="s">
        <v>6</v>
      </c>
      <c r="Z272" s="4">
        <v>5361</v>
      </c>
      <c r="AA272" s="4"/>
    </row>
    <row r="273" spans="4:27" ht="15">
      <c r="D273" s="28"/>
      <c r="E273" s="28"/>
      <c r="F273" s="28"/>
      <c r="H273" s="17"/>
      <c r="I273" s="17"/>
      <c r="J273" s="17"/>
      <c r="K273" s="17" t="s">
        <v>168</v>
      </c>
      <c r="L273" s="17" t="s">
        <v>169</v>
      </c>
      <c r="M273" s="17"/>
      <c r="Y273" s="4" t="s">
        <v>6</v>
      </c>
      <c r="Z273" s="4">
        <v>5361</v>
      </c>
      <c r="AA273" s="4"/>
    </row>
    <row r="274" spans="4:27" ht="15">
      <c r="D274" s="28"/>
      <c r="E274" s="28"/>
      <c r="F274" s="28"/>
      <c r="H274" s="17"/>
      <c r="I274" s="17"/>
      <c r="J274" s="17"/>
      <c r="K274" s="17"/>
      <c r="L274" s="17"/>
      <c r="M274" s="17"/>
      <c r="Y274" s="4" t="s">
        <v>6</v>
      </c>
      <c r="Z274" s="4">
        <v>5361</v>
      </c>
      <c r="AA274" s="4"/>
    </row>
    <row r="275" spans="4:27" ht="15">
      <c r="D275" s="28"/>
      <c r="E275" s="28"/>
      <c r="F275" s="28"/>
      <c r="H275" s="17"/>
      <c r="I275" s="17"/>
      <c r="J275" s="17"/>
      <c r="K275" s="17"/>
      <c r="L275" s="17"/>
      <c r="M275" s="17"/>
      <c r="Y275" s="4" t="s">
        <v>6</v>
      </c>
      <c r="Z275" s="4">
        <v>5361</v>
      </c>
      <c r="AA275" s="4"/>
    </row>
    <row r="276" spans="4:27" ht="15">
      <c r="D276" s="28"/>
      <c r="E276" s="28"/>
      <c r="F276" s="28"/>
      <c r="H276" s="17"/>
      <c r="I276" s="17"/>
      <c r="J276" s="17"/>
      <c r="K276" s="17" t="s">
        <v>168</v>
      </c>
      <c r="L276" s="17" t="s">
        <v>169</v>
      </c>
      <c r="M276" s="17"/>
      <c r="Y276" s="4" t="s">
        <v>6</v>
      </c>
      <c r="Z276" s="4">
        <v>5361</v>
      </c>
      <c r="AA276" s="4"/>
    </row>
    <row r="277" spans="4:27" ht="15">
      <c r="D277" s="28"/>
      <c r="E277" s="28"/>
      <c r="F277" s="28"/>
      <c r="H277" s="17"/>
      <c r="I277" s="17"/>
      <c r="J277" s="17"/>
      <c r="K277" s="17" t="s">
        <v>167</v>
      </c>
      <c r="L277" s="17"/>
      <c r="M277" s="17"/>
      <c r="Y277" s="4" t="s">
        <v>6</v>
      </c>
      <c r="Z277" s="4">
        <v>5361</v>
      </c>
      <c r="AA277" s="4"/>
    </row>
    <row r="278" spans="4:27" ht="15">
      <c r="D278" s="28"/>
      <c r="E278" s="28"/>
      <c r="F278" s="28"/>
      <c r="H278" s="17"/>
      <c r="I278" s="17"/>
      <c r="J278" s="17"/>
      <c r="K278" s="17"/>
      <c r="L278" s="17"/>
      <c r="M278" s="17"/>
      <c r="Y278" s="4" t="s">
        <v>6</v>
      </c>
      <c r="Z278" s="4">
        <v>5361</v>
      </c>
      <c r="AA278" s="4"/>
    </row>
    <row r="279" spans="4:27" ht="15">
      <c r="D279" s="28"/>
      <c r="E279" s="28"/>
      <c r="F279" s="28"/>
      <c r="H279" s="17"/>
      <c r="I279" s="17"/>
      <c r="J279" s="17"/>
      <c r="K279" s="17"/>
      <c r="L279" s="17"/>
      <c r="M279" s="17"/>
      <c r="Y279" s="4" t="s">
        <v>6</v>
      </c>
      <c r="Z279" s="4">
        <v>5361</v>
      </c>
      <c r="AA279" s="4"/>
    </row>
    <row r="280" spans="4:27" ht="15">
      <c r="D280" s="28"/>
      <c r="E280" s="28"/>
      <c r="F280" s="28"/>
      <c r="H280" s="17"/>
      <c r="I280" s="17"/>
      <c r="J280" s="17"/>
      <c r="K280" s="17"/>
      <c r="L280" s="17"/>
      <c r="M280" s="17"/>
      <c r="Y280" s="4" t="s">
        <v>6</v>
      </c>
      <c r="Z280" s="4">
        <v>5361</v>
      </c>
      <c r="AA280" s="4"/>
    </row>
    <row r="281" spans="4:27" ht="15">
      <c r="D281" s="28"/>
      <c r="E281" s="28"/>
      <c r="F281" s="28"/>
      <c r="H281" s="17"/>
      <c r="I281" s="17"/>
      <c r="J281" s="17"/>
      <c r="K281" s="17"/>
      <c r="L281" s="17"/>
      <c r="M281" s="17"/>
      <c r="Y281" s="4" t="s">
        <v>6</v>
      </c>
      <c r="Z281" s="4">
        <v>5361</v>
      </c>
      <c r="AA281" s="4"/>
    </row>
    <row r="282" spans="4:27" ht="15">
      <c r="D282" s="28"/>
      <c r="E282" s="28"/>
      <c r="F282" s="28"/>
      <c r="H282" s="17"/>
      <c r="I282" s="17"/>
      <c r="J282" s="17"/>
      <c r="K282" s="17"/>
      <c r="L282" s="17"/>
      <c r="M282" s="17"/>
      <c r="Y282" s="4" t="s">
        <v>6</v>
      </c>
      <c r="Z282" s="4">
        <v>5361</v>
      </c>
      <c r="AA282" s="4"/>
    </row>
    <row r="283" spans="4:27" ht="15">
      <c r="D283" s="28"/>
      <c r="E283" s="28"/>
      <c r="F283" s="28"/>
      <c r="H283" s="17"/>
      <c r="I283" s="17"/>
      <c r="J283" s="17"/>
      <c r="K283" s="17"/>
      <c r="L283" s="17"/>
      <c r="M283" s="17"/>
      <c r="Y283" s="4" t="s">
        <v>6</v>
      </c>
      <c r="Z283" s="4">
        <v>5361</v>
      </c>
      <c r="AA283" s="4"/>
    </row>
    <row r="284" spans="4:27" ht="15">
      <c r="D284" s="28"/>
      <c r="E284" s="28"/>
      <c r="F284" s="28"/>
      <c r="H284" s="17"/>
      <c r="I284" s="17"/>
      <c r="J284" s="17"/>
      <c r="K284" s="17"/>
      <c r="L284" s="17"/>
      <c r="M284" s="17"/>
      <c r="Y284" s="4" t="s">
        <v>6</v>
      </c>
      <c r="Z284" s="4">
        <v>5361</v>
      </c>
      <c r="AA284" s="4"/>
    </row>
    <row r="285" spans="4:27" ht="15">
      <c r="D285" s="28"/>
      <c r="E285" s="28"/>
      <c r="F285" s="28"/>
      <c r="H285" s="17"/>
      <c r="I285" s="17"/>
      <c r="J285" s="17"/>
      <c r="K285" s="17"/>
      <c r="L285" s="17"/>
      <c r="M285" s="17"/>
      <c r="Y285" s="4" t="s">
        <v>6</v>
      </c>
      <c r="Z285" s="4">
        <v>5361</v>
      </c>
      <c r="AA285" s="4"/>
    </row>
    <row r="286" spans="4:27" ht="15">
      <c r="D286" s="28"/>
      <c r="E286" s="28"/>
      <c r="F286" s="28"/>
      <c r="H286" s="17"/>
      <c r="I286" s="17"/>
      <c r="J286" s="17"/>
      <c r="K286" s="17"/>
      <c r="L286" s="17"/>
      <c r="M286" s="17"/>
      <c r="Y286" s="4" t="s">
        <v>6</v>
      </c>
      <c r="Z286" s="4">
        <v>5362</v>
      </c>
      <c r="AA286" s="4"/>
    </row>
    <row r="287" spans="4:27" ht="15">
      <c r="D287" s="28"/>
      <c r="E287" s="28"/>
      <c r="F287" s="28"/>
      <c r="H287" s="17"/>
      <c r="I287" s="17"/>
      <c r="J287" s="17"/>
      <c r="K287" s="17"/>
      <c r="L287" s="17"/>
      <c r="M287" s="17"/>
      <c r="Y287" s="4" t="s">
        <v>6</v>
      </c>
      <c r="Z287" s="4">
        <v>5362</v>
      </c>
      <c r="AA287" s="4"/>
    </row>
    <row r="288" spans="4:27" ht="15">
      <c r="D288" s="28"/>
      <c r="E288" s="28"/>
      <c r="F288" s="28"/>
      <c r="H288" s="17"/>
      <c r="I288" s="17"/>
      <c r="J288" s="17"/>
      <c r="K288" s="17"/>
      <c r="L288" s="17"/>
      <c r="M288" s="17"/>
      <c r="Y288" s="4" t="s">
        <v>6</v>
      </c>
      <c r="Z288" s="4">
        <v>5362</v>
      </c>
      <c r="AA288" s="4"/>
    </row>
    <row r="289" spans="4:27" ht="15">
      <c r="D289" s="28"/>
      <c r="E289" s="28"/>
      <c r="F289" s="28"/>
      <c r="H289" s="17"/>
      <c r="I289" s="17"/>
      <c r="J289" s="17"/>
      <c r="K289" s="17"/>
      <c r="L289" s="17"/>
      <c r="M289" s="17"/>
      <c r="Y289" s="4" t="s">
        <v>6</v>
      </c>
      <c r="Z289" s="4">
        <v>5362</v>
      </c>
      <c r="AA289" s="4"/>
    </row>
    <row r="290" spans="4:27" ht="15">
      <c r="D290" s="28"/>
      <c r="E290" s="28"/>
      <c r="F290" s="28"/>
      <c r="H290" s="17"/>
      <c r="I290" s="17"/>
      <c r="J290" s="17"/>
      <c r="K290" s="17"/>
      <c r="L290" s="17"/>
      <c r="M290" s="17"/>
      <c r="Y290" s="4" t="s">
        <v>6</v>
      </c>
      <c r="Z290" s="4">
        <v>5362</v>
      </c>
      <c r="AA290" s="4"/>
    </row>
    <row r="291" spans="4:27" ht="15">
      <c r="D291" s="28"/>
      <c r="E291" s="28"/>
      <c r="F291" s="28"/>
      <c r="H291" s="17"/>
      <c r="I291" s="17"/>
      <c r="J291" s="17"/>
      <c r="K291" s="17"/>
      <c r="L291" s="17"/>
      <c r="M291" s="17"/>
      <c r="Y291" s="4" t="s">
        <v>6</v>
      </c>
      <c r="Z291" s="4">
        <v>5362</v>
      </c>
      <c r="AA291" s="4"/>
    </row>
    <row r="292" spans="4:27" ht="15">
      <c r="D292" s="28"/>
      <c r="E292" s="28"/>
      <c r="F292" s="28"/>
      <c r="H292" s="17"/>
      <c r="I292" s="17"/>
      <c r="J292" s="17"/>
      <c r="K292" s="17"/>
      <c r="L292" s="17"/>
      <c r="M292" s="17"/>
      <c r="Y292" s="4" t="s">
        <v>6</v>
      </c>
      <c r="Z292" s="4">
        <v>5362</v>
      </c>
      <c r="AA292" s="4"/>
    </row>
    <row r="293" spans="4:27" ht="15">
      <c r="D293" s="28"/>
      <c r="E293" s="28"/>
      <c r="F293" s="28"/>
      <c r="H293" s="17"/>
      <c r="I293" s="17"/>
      <c r="J293" s="17"/>
      <c r="K293" s="17"/>
      <c r="L293" s="17"/>
      <c r="M293" s="17"/>
      <c r="Y293" s="4" t="s">
        <v>6</v>
      </c>
      <c r="Z293" s="4">
        <v>5362</v>
      </c>
      <c r="AA293" s="4"/>
    </row>
    <row r="294" spans="4:27" ht="15">
      <c r="D294" s="28"/>
      <c r="E294" s="28"/>
      <c r="F294" s="28"/>
      <c r="H294" s="17"/>
      <c r="I294" s="17"/>
      <c r="J294" s="17"/>
      <c r="K294" s="17"/>
      <c r="L294" s="17"/>
      <c r="M294" s="17"/>
      <c r="Y294" s="4" t="s">
        <v>6</v>
      </c>
      <c r="Z294" s="4">
        <v>5362</v>
      </c>
      <c r="AA294" s="4"/>
    </row>
    <row r="295" spans="4:27" ht="15">
      <c r="D295" s="28"/>
      <c r="E295" s="28"/>
      <c r="F295" s="28"/>
      <c r="H295" s="17"/>
      <c r="I295" s="17"/>
      <c r="J295" s="17"/>
      <c r="K295" s="17"/>
      <c r="L295" s="17"/>
      <c r="M295" s="17"/>
      <c r="Y295" s="4" t="s">
        <v>6</v>
      </c>
      <c r="Z295" s="4">
        <v>5362</v>
      </c>
      <c r="AA295" s="4"/>
    </row>
    <row r="296" spans="4:27" ht="15">
      <c r="D296" s="28"/>
      <c r="E296" s="28"/>
      <c r="F296" s="28"/>
      <c r="H296" s="17"/>
      <c r="I296" s="17"/>
      <c r="J296" s="17"/>
      <c r="K296" s="17"/>
      <c r="L296" s="17"/>
      <c r="M296" s="17"/>
      <c r="Y296" s="4" t="s">
        <v>6</v>
      </c>
      <c r="Z296" s="4">
        <v>5362</v>
      </c>
      <c r="AA296" s="4"/>
    </row>
    <row r="297" spans="4:27" ht="15">
      <c r="D297" s="28"/>
      <c r="E297" s="28"/>
      <c r="F297" s="28"/>
      <c r="H297" s="17"/>
      <c r="I297" s="17"/>
      <c r="J297" s="17"/>
      <c r="K297" s="17"/>
      <c r="L297" s="17"/>
      <c r="M297" s="17"/>
      <c r="Y297" s="4" t="s">
        <v>6</v>
      </c>
      <c r="Z297" s="4">
        <v>5362</v>
      </c>
      <c r="AA297" s="4"/>
    </row>
    <row r="298" spans="4:27" ht="15">
      <c r="D298" s="28"/>
      <c r="E298" s="28"/>
      <c r="F298" s="28"/>
      <c r="H298" s="17"/>
      <c r="I298" s="17"/>
      <c r="J298" s="17"/>
      <c r="K298" s="17"/>
      <c r="L298" s="17"/>
      <c r="M298" s="17"/>
      <c r="Y298" s="4" t="s">
        <v>6</v>
      </c>
      <c r="Z298" s="4">
        <v>5362</v>
      </c>
      <c r="AA298" s="4"/>
    </row>
    <row r="299" spans="4:27" ht="15">
      <c r="D299" s="28"/>
      <c r="E299" s="28"/>
      <c r="F299" s="28"/>
      <c r="H299" s="17"/>
      <c r="I299" s="17"/>
      <c r="J299" s="17"/>
      <c r="K299" s="17"/>
      <c r="L299" s="17"/>
      <c r="M299" s="17"/>
      <c r="Y299" s="4" t="s">
        <v>6</v>
      </c>
      <c r="Z299" s="4">
        <v>5362</v>
      </c>
      <c r="AA299" s="4"/>
    </row>
    <row r="300" spans="4:27" ht="15">
      <c r="D300" s="28"/>
      <c r="E300" s="28"/>
      <c r="F300" s="28"/>
      <c r="H300" s="17"/>
      <c r="I300" s="17"/>
      <c r="J300" s="17"/>
      <c r="K300" s="17"/>
      <c r="L300" s="17"/>
      <c r="M300" s="17"/>
      <c r="Y300" s="4" t="s">
        <v>6</v>
      </c>
      <c r="Z300" s="4">
        <v>5362</v>
      </c>
      <c r="AA300" s="4"/>
    </row>
    <row r="301" spans="4:27" ht="15">
      <c r="D301" s="28"/>
      <c r="E301" s="28"/>
      <c r="F301" s="28"/>
      <c r="H301" s="17"/>
      <c r="I301" s="17"/>
      <c r="J301" s="17"/>
      <c r="K301" s="17"/>
      <c r="L301" s="17"/>
      <c r="M301" s="17"/>
      <c r="Y301" s="4" t="s">
        <v>6</v>
      </c>
      <c r="Z301" s="4">
        <v>5362</v>
      </c>
      <c r="AA301" s="4"/>
    </row>
    <row r="302" spans="4:27" ht="15">
      <c r="D302" s="28"/>
      <c r="E302" s="28"/>
      <c r="F302" s="28"/>
      <c r="H302" s="17"/>
      <c r="I302" s="17"/>
      <c r="J302" s="17"/>
      <c r="K302" s="17"/>
      <c r="L302" s="17"/>
      <c r="M302" s="17"/>
      <c r="Y302" s="4" t="s">
        <v>6</v>
      </c>
      <c r="Z302" s="4">
        <v>5362</v>
      </c>
      <c r="AA302" s="4"/>
    </row>
    <row r="303" spans="4:27" ht="15">
      <c r="D303" s="28"/>
      <c r="E303" s="28"/>
      <c r="F303" s="28"/>
      <c r="H303" s="17"/>
      <c r="I303" s="17"/>
      <c r="J303" s="17"/>
      <c r="K303" s="17" t="s">
        <v>137</v>
      </c>
      <c r="L303" s="17"/>
      <c r="M303" s="17"/>
      <c r="Y303" s="4" t="s">
        <v>6</v>
      </c>
      <c r="Z303" s="4">
        <v>5362</v>
      </c>
      <c r="AA303" s="4"/>
    </row>
    <row r="304" spans="4:27" ht="15">
      <c r="D304" s="28"/>
      <c r="E304" s="28"/>
      <c r="F304" s="28"/>
      <c r="H304" s="17"/>
      <c r="I304" s="17"/>
      <c r="J304" s="17"/>
      <c r="K304" s="17"/>
      <c r="L304" s="17"/>
      <c r="M304" s="17"/>
      <c r="Y304" s="4" t="s">
        <v>6</v>
      </c>
      <c r="Z304" s="4">
        <v>5362</v>
      </c>
      <c r="AA304" s="4"/>
    </row>
    <row r="305" spans="4:27" ht="15">
      <c r="D305" s="28"/>
      <c r="E305" s="28"/>
      <c r="F305" s="28"/>
      <c r="H305" s="17"/>
      <c r="I305" s="17"/>
      <c r="J305" s="17"/>
      <c r="K305" s="17"/>
      <c r="L305" s="17"/>
      <c r="M305" s="17"/>
      <c r="Y305" s="4" t="s">
        <v>6</v>
      </c>
      <c r="Z305" s="4">
        <v>5362</v>
      </c>
      <c r="AA305" s="4"/>
    </row>
    <row r="306" spans="4:27" ht="15">
      <c r="D306" s="28"/>
      <c r="E306" s="28"/>
      <c r="F306" s="28"/>
      <c r="H306" s="17"/>
      <c r="I306" s="17"/>
      <c r="J306" s="17"/>
      <c r="K306" s="17"/>
      <c r="L306" s="17"/>
      <c r="M306" s="17"/>
      <c r="Y306" s="4" t="s">
        <v>6</v>
      </c>
      <c r="Z306" s="4">
        <v>5362</v>
      </c>
      <c r="AA306" s="4"/>
    </row>
    <row r="307" spans="4:27" ht="15">
      <c r="D307" s="28"/>
      <c r="E307" s="28"/>
      <c r="F307" s="28"/>
      <c r="H307" s="17"/>
      <c r="I307" s="17"/>
      <c r="J307" s="17"/>
      <c r="K307" s="17"/>
      <c r="L307" s="17"/>
      <c r="M307" s="17"/>
      <c r="Y307" s="4" t="s">
        <v>6</v>
      </c>
      <c r="Z307" s="4">
        <v>5362</v>
      </c>
      <c r="AA307" s="4"/>
    </row>
    <row r="308" spans="4:27" ht="15">
      <c r="D308" s="28"/>
      <c r="E308" s="28"/>
      <c r="F308" s="28"/>
      <c r="H308" s="17"/>
      <c r="I308" s="17"/>
      <c r="J308" s="17"/>
      <c r="K308" s="17"/>
      <c r="L308" s="17"/>
      <c r="M308" s="17"/>
      <c r="Y308" s="4" t="s">
        <v>6</v>
      </c>
      <c r="Z308" s="4">
        <v>55704</v>
      </c>
      <c r="AA308" s="4"/>
    </row>
    <row r="309" spans="4:27" ht="15">
      <c r="D309" s="28"/>
      <c r="E309" s="28"/>
      <c r="F309" s="28"/>
      <c r="H309" s="17"/>
      <c r="I309" s="17"/>
      <c r="J309" s="17"/>
      <c r="K309" s="17"/>
      <c r="L309" s="17"/>
      <c r="M309" s="17"/>
      <c r="Y309" s="4" t="s">
        <v>6</v>
      </c>
      <c r="Z309" s="4">
        <v>55704</v>
      </c>
      <c r="AA309" s="4"/>
    </row>
    <row r="310" spans="4:27" ht="15">
      <c r="D310" s="28"/>
      <c r="E310" s="28"/>
      <c r="F310" s="28"/>
      <c r="H310" s="17"/>
      <c r="I310" s="17"/>
      <c r="J310" s="17"/>
      <c r="K310" s="17"/>
      <c r="L310" s="17"/>
      <c r="M310" s="17"/>
      <c r="Y310" s="4" t="s">
        <v>6</v>
      </c>
      <c r="Z310" s="4">
        <v>55704</v>
      </c>
      <c r="AA310" s="4"/>
    </row>
    <row r="311" spans="4:27" ht="15">
      <c r="D311" s="28"/>
      <c r="E311" s="28"/>
      <c r="F311" s="28"/>
      <c r="H311" s="17"/>
      <c r="I311" s="17"/>
      <c r="J311" s="17"/>
      <c r="K311" s="17"/>
      <c r="L311" s="17"/>
      <c r="M311" s="17"/>
      <c r="Y311" s="4" t="s">
        <v>6</v>
      </c>
      <c r="Z311" s="4">
        <v>55704</v>
      </c>
      <c r="AA311" s="4"/>
    </row>
    <row r="312" spans="4:27" ht="15">
      <c r="D312" s="28"/>
      <c r="E312" s="28"/>
      <c r="F312" s="28"/>
      <c r="H312" s="17"/>
      <c r="I312" s="17"/>
      <c r="J312" s="17"/>
      <c r="K312" s="17"/>
      <c r="L312" s="17"/>
      <c r="M312" s="17"/>
      <c r="Y312" s="4" t="s">
        <v>6</v>
      </c>
      <c r="Z312" s="4">
        <v>56022</v>
      </c>
      <c r="AA312" s="4"/>
    </row>
    <row r="313" spans="4:27" ht="15">
      <c r="D313" s="28"/>
      <c r="E313" s="28"/>
      <c r="F313" s="28"/>
      <c r="H313" s="17"/>
      <c r="I313" s="17"/>
      <c r="J313" s="17"/>
      <c r="K313" s="17"/>
      <c r="L313" s="17"/>
      <c r="M313" s="17"/>
      <c r="Y313" s="4" t="s">
        <v>6</v>
      </c>
      <c r="Z313" s="4">
        <v>56022</v>
      </c>
      <c r="AA313" s="4"/>
    </row>
    <row r="314" spans="4:27" ht="15">
      <c r="D314" s="28"/>
      <c r="E314" s="28"/>
      <c r="F314" s="28"/>
      <c r="H314" s="17"/>
      <c r="I314" s="17"/>
      <c r="J314" s="17"/>
      <c r="K314" s="17"/>
      <c r="L314" s="17"/>
      <c r="M314" s="17"/>
      <c r="Y314" s="4" t="s">
        <v>6</v>
      </c>
      <c r="Z314" s="4">
        <v>581</v>
      </c>
      <c r="AA314" s="4"/>
    </row>
    <row r="315" spans="4:27" ht="15">
      <c r="D315" s="28"/>
      <c r="E315" s="28"/>
      <c r="F315" s="28"/>
      <c r="H315" s="17"/>
      <c r="I315" s="17"/>
      <c r="J315" s="17"/>
      <c r="K315" s="17"/>
      <c r="L315" s="17"/>
      <c r="M315" s="17"/>
      <c r="Y315" s="4" t="s">
        <v>6</v>
      </c>
      <c r="Z315" s="4">
        <v>581</v>
      </c>
      <c r="AA315" s="4"/>
    </row>
    <row r="316" spans="4:27" ht="15">
      <c r="D316" s="28"/>
      <c r="E316" s="28"/>
      <c r="F316" s="28"/>
      <c r="H316" s="17"/>
      <c r="I316" s="17"/>
      <c r="J316" s="17"/>
      <c r="K316" s="17" t="s">
        <v>137</v>
      </c>
      <c r="L316" s="17"/>
      <c r="M316" s="17"/>
      <c r="Y316" s="4" t="s">
        <v>6</v>
      </c>
      <c r="Z316" s="4">
        <v>581</v>
      </c>
      <c r="AA316" s="4"/>
    </row>
    <row r="317" spans="4:27" ht="15">
      <c r="D317" s="28"/>
      <c r="E317" s="28"/>
      <c r="F317" s="28"/>
      <c r="H317" s="17"/>
      <c r="I317" s="17"/>
      <c r="J317" s="17"/>
      <c r="K317" s="17" t="s">
        <v>137</v>
      </c>
      <c r="L317" s="17"/>
      <c r="M317" s="17"/>
      <c r="Y317" s="4" t="s">
        <v>6</v>
      </c>
      <c r="Z317" s="4">
        <v>581</v>
      </c>
      <c r="AA317" s="4"/>
    </row>
    <row r="318" spans="4:27" ht="15">
      <c r="D318" s="28"/>
      <c r="E318" s="28"/>
      <c r="F318" s="28"/>
      <c r="H318" s="17"/>
      <c r="I318" s="17"/>
      <c r="J318" s="17"/>
      <c r="K318" s="17"/>
      <c r="L318" s="17"/>
      <c r="M318" s="17"/>
      <c r="Y318" s="4" t="s">
        <v>6</v>
      </c>
      <c r="Z318" s="4">
        <v>60191</v>
      </c>
      <c r="AA318" s="4"/>
    </row>
    <row r="319" spans="4:27" ht="15">
      <c r="D319" s="28"/>
      <c r="E319" s="28"/>
      <c r="F319" s="28"/>
      <c r="H319" s="17"/>
      <c r="I319" s="17"/>
      <c r="J319" s="17"/>
      <c r="K319" s="17" t="s">
        <v>137</v>
      </c>
      <c r="L319" s="17"/>
      <c r="M319" s="17"/>
      <c r="Y319" s="4" t="s">
        <v>6</v>
      </c>
      <c r="Z319" s="4">
        <v>6020</v>
      </c>
      <c r="AA319" s="4"/>
    </row>
    <row r="320" spans="4:27" ht="15">
      <c r="D320" s="28"/>
      <c r="E320" s="28"/>
      <c r="F320" s="28"/>
      <c r="H320" s="17"/>
      <c r="I320" s="17"/>
      <c r="J320" s="17"/>
      <c r="K320" s="17" t="s">
        <v>165</v>
      </c>
      <c r="L320" s="17" t="s">
        <v>137</v>
      </c>
      <c r="M320" s="17"/>
      <c r="Y320" s="4" t="s">
        <v>6</v>
      </c>
      <c r="Z320" s="4">
        <v>6020</v>
      </c>
      <c r="AA320" s="4"/>
    </row>
    <row r="321" spans="4:27" ht="15">
      <c r="D321" s="28"/>
      <c r="E321" s="28"/>
      <c r="F321" s="28"/>
      <c r="H321" s="17"/>
      <c r="I321" s="17"/>
      <c r="J321" s="17"/>
      <c r="K321" s="17"/>
      <c r="L321" s="17"/>
      <c r="M321" s="17"/>
      <c r="Y321" s="4" t="s">
        <v>6</v>
      </c>
      <c r="Z321" s="4">
        <v>6020</v>
      </c>
      <c r="AA321" s="4"/>
    </row>
    <row r="322" spans="4:27" ht="15">
      <c r="D322" s="28"/>
      <c r="E322" s="28"/>
      <c r="F322" s="28"/>
      <c r="H322" s="17"/>
      <c r="I322" s="17"/>
      <c r="J322" s="17"/>
      <c r="K322" s="17"/>
      <c r="L322" s="17"/>
      <c r="M322" s="17"/>
      <c r="Y322" s="4" t="s">
        <v>6</v>
      </c>
      <c r="Z322" s="4">
        <v>6020</v>
      </c>
      <c r="AA322" s="4"/>
    </row>
    <row r="323" spans="4:27" ht="15">
      <c r="D323" s="28"/>
      <c r="E323" s="28"/>
      <c r="F323" s="28"/>
      <c r="H323" s="17"/>
      <c r="I323" s="17"/>
      <c r="J323" s="17"/>
      <c r="K323" s="17"/>
      <c r="L323" s="17"/>
      <c r="M323" s="17"/>
      <c r="Y323" s="4" t="s">
        <v>6</v>
      </c>
      <c r="Z323" s="4">
        <v>6020</v>
      </c>
      <c r="AA323" s="4"/>
    </row>
    <row r="324" spans="4:27" ht="15">
      <c r="D324" s="28"/>
      <c r="E324" s="28"/>
      <c r="F324" s="28"/>
      <c r="H324" s="17"/>
      <c r="I324" s="17"/>
      <c r="J324" s="17"/>
      <c r="K324" s="17"/>
      <c r="L324" s="17"/>
      <c r="M324" s="17"/>
      <c r="Y324" s="4" t="s">
        <v>6</v>
      </c>
      <c r="Z324" s="4">
        <v>6020</v>
      </c>
      <c r="AA324" s="4"/>
    </row>
    <row r="325" spans="4:27" ht="15">
      <c r="D325" s="28"/>
      <c r="E325" s="28"/>
      <c r="F325" s="28"/>
      <c r="H325" s="17"/>
      <c r="I325" s="17"/>
      <c r="J325" s="17"/>
      <c r="K325" s="17"/>
      <c r="L325" s="17"/>
      <c r="M325" s="17"/>
      <c r="Y325" s="4" t="s">
        <v>6</v>
      </c>
      <c r="Z325" s="4">
        <v>6020</v>
      </c>
      <c r="AA325" s="4"/>
    </row>
    <row r="326" spans="4:27" ht="15">
      <c r="D326" s="28"/>
      <c r="E326" s="28"/>
      <c r="F326" s="28"/>
      <c r="H326" s="17"/>
      <c r="I326" s="17"/>
      <c r="J326" s="17"/>
      <c r="K326" s="17" t="s">
        <v>137</v>
      </c>
      <c r="L326" s="17"/>
      <c r="M326" s="17"/>
      <c r="Y326" s="4" t="s">
        <v>6</v>
      </c>
      <c r="Z326" s="4">
        <v>6020</v>
      </c>
      <c r="AA326" s="4"/>
    </row>
    <row r="327" spans="4:27" ht="15">
      <c r="D327" s="28"/>
      <c r="E327" s="28"/>
      <c r="F327" s="28"/>
      <c r="H327" s="17"/>
      <c r="I327" s="17"/>
      <c r="J327" s="17"/>
      <c r="K327" s="17"/>
      <c r="L327" s="17"/>
      <c r="M327" s="17"/>
      <c r="Y327" s="4" t="s">
        <v>6</v>
      </c>
      <c r="Z327" s="4">
        <v>6020</v>
      </c>
      <c r="AA327" s="4"/>
    </row>
    <row r="328" spans="4:27" ht="15">
      <c r="D328" s="28"/>
      <c r="E328" s="28"/>
      <c r="F328" s="28"/>
      <c r="H328" s="17"/>
      <c r="I328" s="17"/>
      <c r="J328" s="17"/>
      <c r="K328" s="17"/>
      <c r="L328" s="17"/>
      <c r="M328" s="17"/>
      <c r="Y328" s="4" t="s">
        <v>6</v>
      </c>
      <c r="Z328" s="4">
        <v>6020</v>
      </c>
      <c r="AA328" s="4"/>
    </row>
    <row r="329" spans="4:27" ht="15">
      <c r="D329" s="28"/>
      <c r="E329" s="28"/>
      <c r="F329" s="28"/>
      <c r="H329" s="17"/>
      <c r="I329" s="17"/>
      <c r="J329" s="17"/>
      <c r="K329" s="17"/>
      <c r="L329" s="17"/>
      <c r="M329" s="17"/>
      <c r="Y329" s="4" t="s">
        <v>6</v>
      </c>
      <c r="Z329" s="4">
        <v>6020</v>
      </c>
      <c r="AA329" s="4"/>
    </row>
    <row r="330" spans="4:27" ht="15">
      <c r="D330" s="28"/>
      <c r="E330" s="28"/>
      <c r="F330" s="28"/>
      <c r="H330" s="17"/>
      <c r="I330" s="17"/>
      <c r="J330" s="17"/>
      <c r="K330" s="17"/>
      <c r="L330" s="17"/>
      <c r="M330" s="17"/>
      <c r="Y330" s="4" t="s">
        <v>6</v>
      </c>
      <c r="Z330" s="4">
        <v>6020</v>
      </c>
      <c r="AA330" s="4"/>
    </row>
    <row r="331" spans="4:27" ht="15">
      <c r="D331" s="28"/>
      <c r="E331" s="28"/>
      <c r="F331" s="28"/>
      <c r="H331" s="17"/>
      <c r="I331" s="17"/>
      <c r="J331" s="17"/>
      <c r="K331" s="17" t="s">
        <v>153</v>
      </c>
      <c r="L331" s="17"/>
      <c r="M331" s="17"/>
      <c r="Y331" s="4" t="s">
        <v>6</v>
      </c>
      <c r="Z331" s="4">
        <v>6020</v>
      </c>
      <c r="AA331" s="4"/>
    </row>
    <row r="332" spans="4:27" ht="15">
      <c r="D332" s="28"/>
      <c r="E332" s="28"/>
      <c r="F332" s="28"/>
      <c r="H332" s="17"/>
      <c r="I332" s="17"/>
      <c r="J332" s="17"/>
      <c r="K332" s="17"/>
      <c r="L332" s="17"/>
      <c r="M332" s="17"/>
      <c r="Y332" s="4" t="s">
        <v>6</v>
      </c>
      <c r="Z332" s="4">
        <v>6020</v>
      </c>
      <c r="AA332" s="4"/>
    </row>
    <row r="333" spans="4:27" ht="15">
      <c r="D333" s="28"/>
      <c r="E333" s="28"/>
      <c r="F333" s="28"/>
      <c r="H333" s="17"/>
      <c r="I333" s="17"/>
      <c r="J333" s="17"/>
      <c r="K333" s="17"/>
      <c r="L333" s="17"/>
      <c r="M333" s="17"/>
      <c r="Y333" s="4" t="s">
        <v>6</v>
      </c>
      <c r="Z333" s="4">
        <v>6020</v>
      </c>
      <c r="AA333" s="4"/>
    </row>
    <row r="334" spans="4:27" ht="15">
      <c r="D334" s="28"/>
      <c r="E334" s="28"/>
      <c r="F334" s="28"/>
      <c r="H334" s="17"/>
      <c r="I334" s="17"/>
      <c r="J334" s="17"/>
      <c r="K334" s="17"/>
      <c r="L334" s="17"/>
      <c r="M334" s="17"/>
      <c r="Y334" s="4" t="s">
        <v>6</v>
      </c>
      <c r="Z334" s="4">
        <v>6020</v>
      </c>
      <c r="AA334" s="4"/>
    </row>
    <row r="335" spans="4:27" ht="15">
      <c r="D335" s="28"/>
      <c r="E335" s="28"/>
      <c r="F335" s="28"/>
      <c r="H335" s="17"/>
      <c r="I335" s="17"/>
      <c r="J335" s="17"/>
      <c r="K335" s="17"/>
      <c r="L335" s="17"/>
      <c r="M335" s="17"/>
      <c r="Y335" s="4" t="s">
        <v>6</v>
      </c>
      <c r="Z335" s="4">
        <v>6020</v>
      </c>
      <c r="AA335" s="4"/>
    </row>
    <row r="336" spans="4:27" ht="15">
      <c r="D336" s="28"/>
      <c r="E336" s="28"/>
      <c r="F336" s="28"/>
      <c r="H336" s="17"/>
      <c r="I336" s="17"/>
      <c r="J336" s="17"/>
      <c r="K336" s="17"/>
      <c r="L336" s="17"/>
      <c r="M336" s="17"/>
      <c r="Y336" s="4" t="s">
        <v>6</v>
      </c>
      <c r="Z336" s="4">
        <v>6020</v>
      </c>
      <c r="AA336" s="4"/>
    </row>
    <row r="337" spans="4:27" ht="15">
      <c r="D337" s="28"/>
      <c r="E337" s="28"/>
      <c r="F337" s="28"/>
      <c r="H337" s="17"/>
      <c r="I337" s="17"/>
      <c r="J337" s="17"/>
      <c r="K337" s="17"/>
      <c r="L337" s="17"/>
      <c r="M337" s="17"/>
      <c r="Y337" s="4" t="s">
        <v>6</v>
      </c>
      <c r="Z337" s="4">
        <v>6020</v>
      </c>
      <c r="AA337" s="4"/>
    </row>
    <row r="338" spans="4:27" ht="15">
      <c r="D338" s="28"/>
      <c r="E338" s="28"/>
      <c r="F338" s="28"/>
      <c r="H338" s="17"/>
      <c r="I338" s="17"/>
      <c r="J338" s="17"/>
      <c r="K338" s="17"/>
      <c r="L338" s="17"/>
      <c r="M338" s="17"/>
      <c r="Y338" s="4" t="s">
        <v>6</v>
      </c>
      <c r="Z338" s="4">
        <v>6020</v>
      </c>
      <c r="AA338" s="4"/>
    </row>
    <row r="339" spans="4:27" ht="15">
      <c r="D339" s="28"/>
      <c r="E339" s="28"/>
      <c r="F339" s="28"/>
      <c r="H339" s="17"/>
      <c r="I339" s="17"/>
      <c r="J339" s="17"/>
      <c r="K339" s="17"/>
      <c r="L339" s="17"/>
      <c r="M339" s="17"/>
      <c r="Y339" s="4" t="s">
        <v>6</v>
      </c>
      <c r="Z339" s="4">
        <v>6020</v>
      </c>
      <c r="AA339" s="4"/>
    </row>
    <row r="340" spans="4:27" ht="15">
      <c r="D340" s="28"/>
      <c r="E340" s="28"/>
      <c r="F340" s="28"/>
      <c r="H340" s="17"/>
      <c r="I340" s="17"/>
      <c r="J340" s="17"/>
      <c r="K340" s="17"/>
      <c r="L340" s="17"/>
      <c r="M340" s="17"/>
      <c r="Y340" s="4" t="s">
        <v>6</v>
      </c>
      <c r="Z340" s="4">
        <v>60464</v>
      </c>
      <c r="AA340" s="4"/>
    </row>
    <row r="341" spans="4:27" ht="15">
      <c r="D341" s="28"/>
      <c r="E341" s="28"/>
      <c r="F341" s="28"/>
      <c r="H341" s="17"/>
      <c r="I341" s="17"/>
      <c r="J341" s="17"/>
      <c r="K341" s="17"/>
      <c r="L341" s="17"/>
      <c r="M341" s="17"/>
      <c r="Y341" s="4" t="s">
        <v>6</v>
      </c>
      <c r="Z341" s="4">
        <v>60464</v>
      </c>
      <c r="AA341" s="4"/>
    </row>
    <row r="342" spans="4:27" ht="15">
      <c r="D342" s="28"/>
      <c r="E342" s="28"/>
      <c r="F342" s="28"/>
      <c r="H342" s="17"/>
      <c r="I342" s="17"/>
      <c r="J342" s="17"/>
      <c r="K342" s="17"/>
      <c r="L342" s="17"/>
      <c r="M342" s="17"/>
      <c r="Y342" s="4" t="s">
        <v>6</v>
      </c>
      <c r="Z342" s="4">
        <v>605324</v>
      </c>
      <c r="AA342" s="4"/>
    </row>
    <row r="343" spans="4:27" ht="15">
      <c r="D343" s="28"/>
      <c r="E343" s="28"/>
      <c r="F343" s="28"/>
      <c r="H343" s="17"/>
      <c r="I343" s="17"/>
      <c r="J343" s="17"/>
      <c r="K343" s="17"/>
      <c r="L343" s="17"/>
      <c r="M343" s="17"/>
      <c r="Y343" s="4" t="s">
        <v>6</v>
      </c>
      <c r="Z343" s="4">
        <v>605324</v>
      </c>
      <c r="AA343" s="4"/>
    </row>
    <row r="344" spans="4:27" ht="15">
      <c r="D344" s="28"/>
      <c r="E344" s="28"/>
      <c r="F344" s="28"/>
      <c r="H344" s="17"/>
      <c r="I344" s="17"/>
      <c r="J344" s="17"/>
      <c r="K344" s="17"/>
      <c r="L344" s="17"/>
      <c r="M344" s="17"/>
      <c r="Y344" s="4" t="s">
        <v>6</v>
      </c>
      <c r="Z344" s="4">
        <v>60535</v>
      </c>
      <c r="AA344" s="4"/>
    </row>
    <row r="345" spans="4:27" ht="15">
      <c r="D345" s="28"/>
      <c r="E345" s="28"/>
      <c r="F345" s="28"/>
      <c r="H345" s="17"/>
      <c r="I345" s="17"/>
      <c r="J345" s="17"/>
      <c r="K345" s="17"/>
      <c r="L345" s="17"/>
      <c r="M345" s="17"/>
      <c r="Y345" s="4" t="s">
        <v>6</v>
      </c>
      <c r="Z345" s="4">
        <v>606837</v>
      </c>
      <c r="AA345" s="4"/>
    </row>
    <row r="346" spans="4:27" ht="15">
      <c r="D346" s="28"/>
      <c r="E346" s="28"/>
      <c r="F346" s="28"/>
      <c r="H346" s="17"/>
      <c r="I346" s="17"/>
      <c r="J346" s="17"/>
      <c r="K346" s="17"/>
      <c r="L346" s="17"/>
      <c r="M346" s="17"/>
      <c r="Y346" s="4" t="s">
        <v>6</v>
      </c>
      <c r="Z346" s="4">
        <v>606837</v>
      </c>
      <c r="AA346" s="4"/>
    </row>
    <row r="347" spans="4:27" ht="15">
      <c r="D347" s="28"/>
      <c r="E347" s="28"/>
      <c r="F347" s="28"/>
      <c r="H347" s="17"/>
      <c r="I347" s="17"/>
      <c r="J347" s="17"/>
      <c r="K347" s="17"/>
      <c r="L347" s="17"/>
      <c r="M347" s="17"/>
      <c r="Y347" s="4" t="s">
        <v>6</v>
      </c>
      <c r="Z347" s="4">
        <v>606837</v>
      </c>
      <c r="AA347" s="4"/>
    </row>
    <row r="348" spans="4:27" ht="15">
      <c r="D348" s="28"/>
      <c r="E348" s="28"/>
      <c r="F348" s="28"/>
      <c r="H348" s="17"/>
      <c r="I348" s="17"/>
      <c r="J348" s="17"/>
      <c r="K348" s="17"/>
      <c r="L348" s="17"/>
      <c r="M348" s="17"/>
      <c r="Y348" s="4" t="s">
        <v>6</v>
      </c>
      <c r="Z348" s="4">
        <v>606837</v>
      </c>
      <c r="AA348" s="4"/>
    </row>
    <row r="349" spans="4:27" ht="15">
      <c r="D349" s="28"/>
      <c r="E349" s="28"/>
      <c r="F349" s="28"/>
      <c r="H349" s="17"/>
      <c r="I349" s="17"/>
      <c r="J349" s="17"/>
      <c r="K349" s="17"/>
      <c r="L349" s="17"/>
      <c r="M349" s="17"/>
      <c r="Y349" s="4" t="s">
        <v>6</v>
      </c>
      <c r="Z349" s="4">
        <v>606837</v>
      </c>
      <c r="AA349" s="4"/>
    </row>
    <row r="350" spans="4:27" ht="15">
      <c r="D350" s="28"/>
      <c r="E350" s="28"/>
      <c r="F350" s="28"/>
      <c r="H350" s="17"/>
      <c r="I350" s="17"/>
      <c r="J350" s="17"/>
      <c r="K350" s="17"/>
      <c r="L350" s="17"/>
      <c r="M350" s="17"/>
      <c r="Y350" s="4" t="s">
        <v>6</v>
      </c>
      <c r="Z350" s="4">
        <v>606837</v>
      </c>
      <c r="AA350" s="4"/>
    </row>
    <row r="351" spans="4:27" ht="15">
      <c r="D351" s="28"/>
      <c r="E351" s="28"/>
      <c r="F351" s="28"/>
      <c r="H351" s="17"/>
      <c r="I351" s="17"/>
      <c r="J351" s="17"/>
      <c r="K351" s="17"/>
      <c r="L351" s="17"/>
      <c r="M351" s="17"/>
      <c r="Y351" s="4" t="s">
        <v>6</v>
      </c>
      <c r="Z351" s="4">
        <v>606837</v>
      </c>
      <c r="AA351" s="4"/>
    </row>
    <row r="352" spans="4:27" ht="15">
      <c r="D352" s="28"/>
      <c r="E352" s="28"/>
      <c r="F352" s="28"/>
      <c r="H352" s="17"/>
      <c r="I352" s="17"/>
      <c r="J352" s="17"/>
      <c r="K352" s="17" t="s">
        <v>170</v>
      </c>
      <c r="L352" s="17" t="s">
        <v>137</v>
      </c>
      <c r="M352" s="17"/>
      <c r="Y352" s="4" t="s">
        <v>6</v>
      </c>
      <c r="Z352" s="4">
        <v>606837</v>
      </c>
      <c r="AA352" s="4"/>
    </row>
    <row r="353" spans="4:27" ht="15">
      <c r="D353" s="28"/>
      <c r="E353" s="28"/>
      <c r="F353" s="28"/>
      <c r="H353" s="17"/>
      <c r="I353" s="17"/>
      <c r="J353" s="17"/>
      <c r="K353" s="17" t="s">
        <v>171</v>
      </c>
      <c r="L353" s="17"/>
      <c r="M353" s="17"/>
      <c r="Y353" s="4" t="s">
        <v>6</v>
      </c>
      <c r="Z353" s="4">
        <v>606837</v>
      </c>
      <c r="AA353" s="4"/>
    </row>
    <row r="354" spans="4:27" ht="15">
      <c r="D354" s="28"/>
      <c r="E354" s="28"/>
      <c r="F354" s="28"/>
      <c r="H354" s="17"/>
      <c r="I354" s="17"/>
      <c r="J354" s="17"/>
      <c r="K354" s="17"/>
      <c r="L354" s="17"/>
      <c r="M354" s="17"/>
      <c r="Y354" s="4" t="s">
        <v>6</v>
      </c>
      <c r="Z354" s="4">
        <v>606837</v>
      </c>
      <c r="AA354" s="4"/>
    </row>
    <row r="355" spans="4:27" ht="15">
      <c r="D355" s="28"/>
      <c r="E355" s="28"/>
      <c r="F355" s="28"/>
      <c r="H355" s="17"/>
      <c r="I355" s="17"/>
      <c r="J355" s="17"/>
      <c r="K355" s="17"/>
      <c r="L355" s="17"/>
      <c r="M355" s="17"/>
      <c r="Y355" s="4" t="s">
        <v>6</v>
      </c>
      <c r="Z355" s="4">
        <v>606838</v>
      </c>
      <c r="AA355" s="4"/>
    </row>
    <row r="356" spans="4:27" ht="15">
      <c r="D356" s="28"/>
      <c r="E356" s="28"/>
      <c r="F356" s="28"/>
      <c r="H356" s="17"/>
      <c r="I356" s="17"/>
      <c r="J356" s="17"/>
      <c r="K356" s="17"/>
      <c r="L356" s="17"/>
      <c r="M356" s="17"/>
      <c r="Y356" s="4" t="s">
        <v>6</v>
      </c>
      <c r="Z356" s="4">
        <v>606838</v>
      </c>
      <c r="AA356" s="4"/>
    </row>
    <row r="357" spans="4:27" ht="15">
      <c r="D357" s="28"/>
      <c r="E357" s="28"/>
      <c r="F357" s="28"/>
      <c r="H357" s="17"/>
      <c r="I357" s="17"/>
      <c r="J357" s="17"/>
      <c r="K357" s="17" t="s">
        <v>137</v>
      </c>
      <c r="L357" s="17"/>
      <c r="M357" s="17"/>
      <c r="Y357" s="4" t="s">
        <v>6</v>
      </c>
      <c r="Z357" s="4">
        <v>606838</v>
      </c>
      <c r="AA357" s="4"/>
    </row>
    <row r="358" spans="4:27" ht="15">
      <c r="D358" s="28"/>
      <c r="E358" s="28"/>
      <c r="F358" s="28"/>
      <c r="H358" s="17"/>
      <c r="I358" s="17"/>
      <c r="J358" s="17"/>
      <c r="K358" s="17"/>
      <c r="L358" s="17"/>
      <c r="M358" s="17"/>
      <c r="Y358" s="4" t="s">
        <v>6</v>
      </c>
      <c r="Z358" s="4">
        <v>606838</v>
      </c>
      <c r="AA358" s="4"/>
    </row>
    <row r="359" spans="4:27" ht="15">
      <c r="D359" s="28"/>
      <c r="E359" s="28"/>
      <c r="F359" s="28"/>
      <c r="H359" s="17"/>
      <c r="I359" s="17"/>
      <c r="J359" s="17"/>
      <c r="K359" s="17"/>
      <c r="L359" s="17"/>
      <c r="M359" s="17"/>
      <c r="Y359" s="4" t="s">
        <v>6</v>
      </c>
      <c r="Z359" s="4">
        <v>606839</v>
      </c>
      <c r="AA359" s="4"/>
    </row>
    <row r="360" spans="4:27" ht="15">
      <c r="D360" s="28"/>
      <c r="E360" s="28"/>
      <c r="F360" s="28"/>
      <c r="H360" s="17"/>
      <c r="I360" s="17"/>
      <c r="J360" s="17"/>
      <c r="K360" s="17" t="s">
        <v>137</v>
      </c>
      <c r="L360" s="17"/>
      <c r="M360" s="17"/>
      <c r="Y360" s="4" t="s">
        <v>6</v>
      </c>
      <c r="Z360" s="4">
        <v>606839</v>
      </c>
      <c r="AA360" s="4"/>
    </row>
    <row r="361" spans="4:27" ht="15">
      <c r="D361" s="28"/>
      <c r="E361" s="28"/>
      <c r="F361" s="28"/>
      <c r="H361" s="17"/>
      <c r="I361" s="17"/>
      <c r="J361" s="17"/>
      <c r="K361" s="17"/>
      <c r="L361" s="17"/>
      <c r="M361" s="17"/>
      <c r="Y361" s="4" t="s">
        <v>6</v>
      </c>
      <c r="Z361" s="4">
        <v>606839</v>
      </c>
      <c r="AA361" s="4"/>
    </row>
    <row r="362" spans="4:27" ht="15">
      <c r="D362" s="28"/>
      <c r="E362" s="28"/>
      <c r="F362" s="28"/>
      <c r="H362" s="17"/>
      <c r="I362" s="17"/>
      <c r="J362" s="17"/>
      <c r="K362" s="17"/>
      <c r="L362" s="17"/>
      <c r="M362" s="17"/>
      <c r="Y362" s="4" t="s">
        <v>6</v>
      </c>
      <c r="Z362" s="4">
        <v>606839</v>
      </c>
      <c r="AA362" s="4"/>
    </row>
    <row r="363" spans="4:27" ht="15">
      <c r="D363" s="28"/>
      <c r="E363" s="28"/>
      <c r="F363" s="28"/>
      <c r="H363" s="17"/>
      <c r="I363" s="17"/>
      <c r="J363" s="17"/>
      <c r="K363" s="17" t="s">
        <v>153</v>
      </c>
      <c r="L363" s="17"/>
      <c r="M363" s="17"/>
      <c r="Y363" s="4" t="s">
        <v>6</v>
      </c>
      <c r="Z363" s="4">
        <v>606839</v>
      </c>
      <c r="AA363" s="4"/>
    </row>
    <row r="364" spans="4:27" ht="15">
      <c r="D364" s="28"/>
      <c r="E364" s="28"/>
      <c r="F364" s="28"/>
      <c r="H364" s="17"/>
      <c r="I364" s="17"/>
      <c r="J364" s="17"/>
      <c r="K364" s="17" t="s">
        <v>137</v>
      </c>
      <c r="L364" s="17"/>
      <c r="M364" s="17"/>
      <c r="Y364" s="4" t="s">
        <v>6</v>
      </c>
      <c r="Z364" s="4">
        <v>606840</v>
      </c>
      <c r="AA364" s="4"/>
    </row>
    <row r="365" spans="4:27" ht="15">
      <c r="D365" s="28"/>
      <c r="E365" s="28"/>
      <c r="F365" s="28"/>
      <c r="H365" s="17"/>
      <c r="I365" s="17"/>
      <c r="J365" s="17"/>
      <c r="K365" s="17"/>
      <c r="L365" s="17"/>
      <c r="M365" s="17"/>
      <c r="Y365" s="4" t="s">
        <v>6</v>
      </c>
      <c r="Z365" s="4">
        <v>606840</v>
      </c>
      <c r="AA365" s="4"/>
    </row>
    <row r="366" spans="4:27" ht="15">
      <c r="D366" s="28"/>
      <c r="E366" s="28"/>
      <c r="F366" s="28"/>
      <c r="H366" s="17"/>
      <c r="I366" s="17"/>
      <c r="J366" s="17"/>
      <c r="K366" s="17"/>
      <c r="L366" s="17"/>
      <c r="M366" s="17"/>
      <c r="Y366" s="4" t="s">
        <v>6</v>
      </c>
      <c r="Z366" s="4">
        <v>606840</v>
      </c>
      <c r="AA366" s="4"/>
    </row>
    <row r="367" spans="4:27" ht="15">
      <c r="D367" s="28"/>
      <c r="E367" s="28"/>
      <c r="F367" s="28"/>
      <c r="H367" s="17"/>
      <c r="I367" s="17"/>
      <c r="J367" s="17"/>
      <c r="K367" s="17"/>
      <c r="L367" s="17"/>
      <c r="M367" s="17"/>
      <c r="Y367" s="4" t="s">
        <v>6</v>
      </c>
      <c r="Z367" s="4">
        <v>606840</v>
      </c>
      <c r="AA367" s="4"/>
    </row>
    <row r="368" spans="4:27" ht="15">
      <c r="D368" s="28"/>
      <c r="E368" s="28"/>
      <c r="F368" s="28"/>
      <c r="H368" s="17"/>
      <c r="I368" s="17"/>
      <c r="J368" s="17"/>
      <c r="K368" s="17"/>
      <c r="L368" s="17"/>
      <c r="M368" s="17"/>
      <c r="Y368" s="4" t="s">
        <v>6</v>
      </c>
      <c r="Z368" s="4">
        <v>60891</v>
      </c>
      <c r="AA368" s="4"/>
    </row>
    <row r="369" spans="4:27" ht="15">
      <c r="D369" s="28"/>
      <c r="E369" s="28"/>
      <c r="F369" s="28"/>
      <c r="H369" s="17"/>
      <c r="I369" s="17"/>
      <c r="J369" s="17"/>
      <c r="K369" s="17"/>
      <c r="L369" s="17"/>
      <c r="M369" s="17"/>
      <c r="Y369" s="4" t="s">
        <v>6</v>
      </c>
      <c r="Z369" s="4">
        <v>62866</v>
      </c>
      <c r="AA369" s="4"/>
    </row>
    <row r="370" spans="4:27" ht="15">
      <c r="D370" s="28"/>
      <c r="E370" s="28"/>
      <c r="F370" s="28"/>
      <c r="H370" s="17"/>
      <c r="I370" s="17"/>
      <c r="J370" s="17"/>
      <c r="K370" s="17"/>
      <c r="L370" s="17"/>
      <c r="M370" s="17"/>
      <c r="Y370" s="4" t="s">
        <v>6</v>
      </c>
      <c r="Z370" s="4">
        <v>62866</v>
      </c>
      <c r="AA370" s="4"/>
    </row>
    <row r="371" spans="4:27" ht="15">
      <c r="D371" s="28"/>
      <c r="E371" s="28"/>
      <c r="F371" s="28"/>
      <c r="H371" s="17"/>
      <c r="I371" s="17"/>
      <c r="J371" s="17"/>
      <c r="K371" s="17"/>
      <c r="L371" s="17"/>
      <c r="M371" s="17"/>
      <c r="Y371" s="4" t="s">
        <v>6</v>
      </c>
      <c r="Z371" s="4">
        <v>62866</v>
      </c>
      <c r="AA371" s="4"/>
    </row>
    <row r="372" spans="4:27" ht="15">
      <c r="D372" s="28"/>
      <c r="E372" s="28"/>
      <c r="F372" s="28"/>
      <c r="H372" s="17"/>
      <c r="I372" s="17"/>
      <c r="J372" s="17"/>
      <c r="K372" s="17" t="s">
        <v>137</v>
      </c>
      <c r="L372" s="17"/>
      <c r="M372" s="17"/>
      <c r="Y372" s="4" t="s">
        <v>6</v>
      </c>
      <c r="Z372" s="4">
        <v>62866</v>
      </c>
      <c r="AA372" s="4"/>
    </row>
    <row r="373" spans="4:27" ht="15">
      <c r="D373" s="28"/>
      <c r="E373" s="28"/>
      <c r="F373" s="28"/>
      <c r="H373" s="17"/>
      <c r="I373" s="17"/>
      <c r="J373" s="17"/>
      <c r="K373" s="17"/>
      <c r="L373" s="17"/>
      <c r="M373" s="17"/>
      <c r="Y373" s="4" t="s">
        <v>6</v>
      </c>
      <c r="Z373" s="4">
        <v>63083</v>
      </c>
      <c r="AA373" s="4"/>
    </row>
    <row r="374" spans="4:27" ht="15">
      <c r="D374" s="28"/>
      <c r="E374" s="28"/>
      <c r="F374" s="28"/>
      <c r="H374" s="17"/>
      <c r="I374" s="17"/>
      <c r="J374" s="17"/>
      <c r="K374" s="17"/>
      <c r="L374" s="17"/>
      <c r="M374" s="17"/>
      <c r="Y374" s="4" t="s">
        <v>6</v>
      </c>
      <c r="Z374" s="4">
        <v>63084</v>
      </c>
      <c r="AA374" s="4"/>
    </row>
    <row r="375" spans="4:27" ht="15">
      <c r="D375" s="28"/>
      <c r="E375" s="28"/>
      <c r="F375" s="28"/>
      <c r="H375" s="17"/>
      <c r="I375" s="17"/>
      <c r="J375" s="17"/>
      <c r="K375" s="17"/>
      <c r="L375" s="17"/>
      <c r="M375" s="17"/>
      <c r="Y375" s="4" t="s">
        <v>6</v>
      </c>
      <c r="Z375" s="4">
        <v>63085</v>
      </c>
      <c r="AA375" s="4"/>
    </row>
    <row r="376" spans="4:27" ht="15">
      <c r="D376" s="28"/>
      <c r="E376" s="28"/>
      <c r="F376" s="28"/>
      <c r="H376" s="17"/>
      <c r="I376" s="17"/>
      <c r="J376" s="17"/>
      <c r="K376" s="17"/>
      <c r="L376" s="17"/>
      <c r="M376" s="17"/>
      <c r="Y376" s="4" t="s">
        <v>6</v>
      </c>
      <c r="Z376" s="4">
        <v>63086</v>
      </c>
      <c r="AA376" s="4"/>
    </row>
    <row r="377" spans="4:27" ht="15">
      <c r="D377" s="28"/>
      <c r="E377" s="28"/>
      <c r="F377" s="28"/>
      <c r="H377" s="17"/>
      <c r="I377" s="17"/>
      <c r="J377" s="17"/>
      <c r="K377" s="17"/>
      <c r="L377" s="17"/>
      <c r="M377" s="17"/>
      <c r="Y377" s="4" t="s">
        <v>6</v>
      </c>
      <c r="Z377" s="4">
        <v>63087</v>
      </c>
      <c r="AA377" s="4"/>
    </row>
    <row r="378" spans="4:27" ht="15">
      <c r="D378" s="28"/>
      <c r="E378" s="28"/>
      <c r="F378" s="28"/>
      <c r="H378" s="17"/>
      <c r="I378" s="17"/>
      <c r="J378" s="17"/>
      <c r="K378" s="17"/>
      <c r="L378" s="17"/>
      <c r="M378" s="17"/>
      <c r="Y378" s="4" t="s">
        <v>6</v>
      </c>
      <c r="Z378" s="4">
        <v>63088</v>
      </c>
      <c r="AA378" s="4"/>
    </row>
    <row r="379" spans="4:27" ht="15">
      <c r="D379" s="28"/>
      <c r="E379" s="28"/>
      <c r="F379" s="28"/>
      <c r="H379" s="17"/>
      <c r="I379" s="17"/>
      <c r="J379" s="17"/>
      <c r="K379" s="17"/>
      <c r="L379" s="17"/>
      <c r="M379" s="17"/>
      <c r="Y379" s="4" t="s">
        <v>6</v>
      </c>
      <c r="Z379" s="4">
        <v>63089</v>
      </c>
      <c r="AA379" s="4"/>
    </row>
    <row r="380" spans="4:27" ht="15">
      <c r="D380" s="28"/>
      <c r="E380" s="28"/>
      <c r="F380" s="28"/>
      <c r="H380" s="17"/>
      <c r="I380" s="17"/>
      <c r="J380" s="17"/>
      <c r="K380" s="17"/>
      <c r="L380" s="17"/>
      <c r="M380" s="17"/>
      <c r="Y380" s="4" t="s">
        <v>6</v>
      </c>
      <c r="Z380" s="4">
        <v>63090</v>
      </c>
      <c r="AA380" s="4"/>
    </row>
    <row r="381" spans="4:27" ht="15">
      <c r="D381" s="28"/>
      <c r="E381" s="28"/>
      <c r="F381" s="28"/>
      <c r="H381" s="17"/>
      <c r="I381" s="17"/>
      <c r="J381" s="17"/>
      <c r="K381" s="17" t="s">
        <v>172</v>
      </c>
      <c r="L381" s="17"/>
      <c r="M381" s="17"/>
      <c r="Y381" s="4" t="s">
        <v>6</v>
      </c>
      <c r="Z381" s="4">
        <v>63091</v>
      </c>
      <c r="AA381" s="4"/>
    </row>
    <row r="382" spans="4:27" ht="15">
      <c r="D382" s="28"/>
      <c r="E382" s="28"/>
      <c r="F382" s="28"/>
      <c r="H382" s="17"/>
      <c r="I382" s="17"/>
      <c r="J382" s="17"/>
      <c r="K382" s="17"/>
      <c r="L382" s="17"/>
      <c r="M382" s="17"/>
      <c r="Y382" s="4" t="s">
        <v>6</v>
      </c>
      <c r="Z382" s="4">
        <v>63092</v>
      </c>
      <c r="AA382" s="4"/>
    </row>
    <row r="383" spans="4:27" ht="15">
      <c r="D383" s="28"/>
      <c r="E383" s="28"/>
      <c r="F383" s="28"/>
      <c r="H383" s="17"/>
      <c r="I383" s="17"/>
      <c r="J383" s="17"/>
      <c r="K383" s="17"/>
      <c r="L383" s="17"/>
      <c r="M383" s="17"/>
      <c r="Y383" s="4" t="s">
        <v>6</v>
      </c>
      <c r="Z383" s="4">
        <v>63093</v>
      </c>
      <c r="AA383" s="4"/>
    </row>
    <row r="384" spans="4:27" ht="15">
      <c r="D384" s="28"/>
      <c r="E384" s="28"/>
      <c r="F384" s="28"/>
      <c r="H384" s="17"/>
      <c r="I384" s="17"/>
      <c r="J384" s="17"/>
      <c r="K384" s="17" t="s">
        <v>173</v>
      </c>
      <c r="L384" s="17"/>
      <c r="M384" s="17"/>
      <c r="Y384" s="4" t="s">
        <v>6</v>
      </c>
      <c r="Z384" s="4">
        <v>63094</v>
      </c>
      <c r="AA384" s="4"/>
    </row>
    <row r="385" spans="4:27" ht="15">
      <c r="D385" s="28"/>
      <c r="E385" s="28"/>
      <c r="F385" s="28"/>
      <c r="H385" s="17"/>
      <c r="I385" s="17"/>
      <c r="J385" s="17"/>
      <c r="K385" s="17"/>
      <c r="L385" s="17"/>
      <c r="M385" s="17"/>
      <c r="Y385" s="4" t="s">
        <v>6</v>
      </c>
      <c r="Z385" s="4">
        <v>63095</v>
      </c>
      <c r="AA385" s="4"/>
    </row>
    <row r="386" spans="4:27" ht="15">
      <c r="D386" s="28"/>
      <c r="E386" s="28"/>
      <c r="F386" s="28"/>
      <c r="H386" s="17"/>
      <c r="I386" s="17"/>
      <c r="J386" s="17"/>
      <c r="K386" s="17"/>
      <c r="L386" s="17"/>
      <c r="M386" s="17"/>
      <c r="Y386" s="4" t="s">
        <v>6</v>
      </c>
      <c r="Z386" s="4">
        <v>63096</v>
      </c>
      <c r="AA386" s="4"/>
    </row>
    <row r="387" spans="4:27" ht="15">
      <c r="D387" s="28"/>
      <c r="E387" s="28"/>
      <c r="F387" s="28"/>
      <c r="H387" s="17"/>
      <c r="I387" s="17"/>
      <c r="J387" s="17"/>
      <c r="K387" s="17"/>
      <c r="L387" s="17"/>
      <c r="M387" s="17"/>
      <c r="Y387" s="4" t="s">
        <v>6</v>
      </c>
      <c r="Z387" s="4">
        <v>63097</v>
      </c>
      <c r="AA387" s="4"/>
    </row>
    <row r="388" spans="4:27" ht="15">
      <c r="D388" s="28"/>
      <c r="E388" s="28"/>
      <c r="F388" s="28"/>
      <c r="H388" s="17"/>
      <c r="I388" s="17"/>
      <c r="J388" s="17"/>
      <c r="K388" s="17"/>
      <c r="L388" s="17"/>
      <c r="M388" s="17"/>
      <c r="Y388" s="4" t="s">
        <v>6</v>
      </c>
      <c r="Z388" s="4">
        <v>63098</v>
      </c>
      <c r="AA388" s="4"/>
    </row>
    <row r="389" spans="4:27" ht="15">
      <c r="D389" s="28"/>
      <c r="E389" s="28"/>
      <c r="F389" s="28"/>
      <c r="H389" s="17"/>
      <c r="I389" s="17"/>
      <c r="J389" s="17"/>
      <c r="K389" s="17"/>
      <c r="L389" s="17"/>
      <c r="M389" s="17"/>
      <c r="Y389" s="4" t="s">
        <v>6</v>
      </c>
      <c r="Z389" s="4">
        <v>63099</v>
      </c>
      <c r="AA389" s="4"/>
    </row>
    <row r="390" spans="4:27" ht="15">
      <c r="D390" s="28"/>
      <c r="E390" s="28"/>
      <c r="F390" s="28"/>
      <c r="H390" s="17"/>
      <c r="I390" s="17"/>
      <c r="J390" s="17"/>
      <c r="K390" s="17"/>
      <c r="L390" s="17"/>
      <c r="M390" s="17"/>
      <c r="Y390" s="4" t="s">
        <v>6</v>
      </c>
      <c r="Z390" s="4">
        <v>63100</v>
      </c>
      <c r="AA390" s="4"/>
    </row>
    <row r="391" spans="4:27" ht="15">
      <c r="D391" s="28"/>
      <c r="E391" s="28"/>
      <c r="F391" s="28"/>
      <c r="H391" s="17"/>
      <c r="I391" s="17"/>
      <c r="J391" s="17"/>
      <c r="K391" s="17"/>
      <c r="L391" s="17"/>
      <c r="M391" s="17"/>
      <c r="Y391" s="4" t="s">
        <v>6</v>
      </c>
      <c r="Z391" s="4">
        <v>63101</v>
      </c>
      <c r="AA391" s="4"/>
    </row>
    <row r="392" spans="4:27" ht="15">
      <c r="D392" s="28"/>
      <c r="E392" s="28"/>
      <c r="F392" s="28"/>
      <c r="H392" s="17"/>
      <c r="I392" s="17"/>
      <c r="J392" s="17"/>
      <c r="K392" s="17"/>
      <c r="L392" s="17"/>
      <c r="M392" s="17"/>
      <c r="Y392" s="4" t="s">
        <v>6</v>
      </c>
      <c r="Z392" s="4">
        <v>63102</v>
      </c>
      <c r="AA392" s="4"/>
    </row>
    <row r="393" spans="4:27" ht="15">
      <c r="D393" s="28"/>
      <c r="E393" s="28"/>
      <c r="F393" s="28"/>
      <c r="H393" s="17"/>
      <c r="I393" s="17"/>
      <c r="J393" s="17"/>
      <c r="K393" s="17"/>
      <c r="L393" s="17"/>
      <c r="M393" s="17"/>
      <c r="Y393" s="4" t="s">
        <v>6</v>
      </c>
      <c r="Z393" s="4">
        <v>63103</v>
      </c>
      <c r="AA393" s="4"/>
    </row>
    <row r="394" spans="4:27" ht="15">
      <c r="D394" s="28"/>
      <c r="E394" s="28"/>
      <c r="F394" s="28"/>
      <c r="H394" s="17"/>
      <c r="I394" s="17"/>
      <c r="J394" s="17"/>
      <c r="K394" s="17"/>
      <c r="L394" s="17"/>
      <c r="M394" s="17"/>
      <c r="Y394" s="4" t="s">
        <v>6</v>
      </c>
      <c r="Z394" s="4">
        <v>63104</v>
      </c>
      <c r="AA394" s="4"/>
    </row>
    <row r="395" spans="4:27" ht="15">
      <c r="D395" s="28"/>
      <c r="E395" s="28"/>
      <c r="F395" s="28"/>
      <c r="H395" s="17"/>
      <c r="I395" s="17"/>
      <c r="J395" s="17"/>
      <c r="K395" s="17"/>
      <c r="L395" s="17"/>
      <c r="M395" s="17"/>
      <c r="Y395" s="4" t="s">
        <v>6</v>
      </c>
      <c r="Z395" s="4">
        <v>63105</v>
      </c>
      <c r="AA395" s="4"/>
    </row>
    <row r="396" spans="4:27" ht="15">
      <c r="D396" s="28"/>
      <c r="E396" s="28"/>
      <c r="F396" s="28"/>
      <c r="H396" s="17"/>
      <c r="I396" s="17"/>
      <c r="J396" s="17"/>
      <c r="K396" s="17"/>
      <c r="L396" s="17"/>
      <c r="M396" s="17"/>
      <c r="Y396" s="4" t="s">
        <v>6</v>
      </c>
      <c r="Z396" s="4">
        <v>63106</v>
      </c>
      <c r="AA396" s="4"/>
    </row>
    <row r="397" spans="4:27" ht="15">
      <c r="D397" s="28"/>
      <c r="E397" s="28"/>
      <c r="F397" s="28"/>
      <c r="H397" s="17"/>
      <c r="I397" s="17"/>
      <c r="J397" s="17"/>
      <c r="K397" s="17"/>
      <c r="L397" s="17"/>
      <c r="M397" s="17"/>
      <c r="Y397" s="4" t="s">
        <v>6</v>
      </c>
      <c r="Z397" s="4">
        <v>63107</v>
      </c>
      <c r="AA397" s="4"/>
    </row>
    <row r="398" spans="4:27" ht="15">
      <c r="D398" s="28"/>
      <c r="E398" s="28"/>
      <c r="F398" s="28"/>
      <c r="H398" s="17"/>
      <c r="I398" s="17"/>
      <c r="J398" s="17"/>
      <c r="K398" s="17"/>
      <c r="L398" s="17"/>
      <c r="M398" s="17"/>
      <c r="Y398" s="4" t="s">
        <v>6</v>
      </c>
      <c r="Z398" s="4">
        <v>63108</v>
      </c>
      <c r="AA398" s="4"/>
    </row>
    <row r="399" spans="4:27" ht="15">
      <c r="D399" s="28"/>
      <c r="E399" s="28"/>
      <c r="F399" s="28"/>
      <c r="H399" s="17"/>
      <c r="I399" s="17"/>
      <c r="J399" s="17"/>
      <c r="K399" s="17"/>
      <c r="L399" s="17"/>
      <c r="M399" s="17"/>
      <c r="Y399" s="4" t="s">
        <v>6</v>
      </c>
      <c r="Z399" s="4">
        <v>63110</v>
      </c>
      <c r="AA399" s="4"/>
    </row>
    <row r="400" spans="4:27" ht="15">
      <c r="D400" s="28"/>
      <c r="E400" s="28"/>
      <c r="F400" s="28"/>
      <c r="H400" s="17"/>
      <c r="I400" s="17"/>
      <c r="J400" s="17"/>
      <c r="K400" s="17"/>
      <c r="L400" s="17"/>
      <c r="M400" s="17"/>
      <c r="Y400" s="4" t="s">
        <v>6</v>
      </c>
      <c r="Z400" s="4">
        <v>63814</v>
      </c>
      <c r="AA400" s="4"/>
    </row>
    <row r="401" spans="4:27" ht="15">
      <c r="D401" s="28"/>
      <c r="E401" s="28"/>
      <c r="F401" s="28"/>
      <c r="H401" s="17"/>
      <c r="I401" s="17"/>
      <c r="J401" s="17"/>
      <c r="K401" s="17"/>
      <c r="L401" s="17"/>
      <c r="M401" s="17"/>
      <c r="Y401" s="4" t="s">
        <v>6</v>
      </c>
      <c r="Z401" s="4">
        <v>63814</v>
      </c>
      <c r="AA401" s="4"/>
    </row>
    <row r="402" spans="4:27" ht="15">
      <c r="D402" s="28"/>
      <c r="E402" s="28"/>
      <c r="F402" s="28"/>
      <c r="H402" s="17"/>
      <c r="I402" s="17"/>
      <c r="J402" s="17"/>
      <c r="K402" s="17"/>
      <c r="L402" s="17"/>
      <c r="M402" s="17"/>
      <c r="Y402" s="4" t="s">
        <v>6</v>
      </c>
      <c r="Z402" s="4">
        <v>63814</v>
      </c>
      <c r="AA402" s="4"/>
    </row>
    <row r="403" spans="4:27" ht="15">
      <c r="D403" s="28"/>
      <c r="E403" s="28"/>
      <c r="F403" s="28"/>
      <c r="H403" s="17"/>
      <c r="I403" s="17"/>
      <c r="J403" s="17"/>
      <c r="K403" s="17"/>
      <c r="L403" s="17"/>
      <c r="M403" s="17"/>
      <c r="Y403" s="4" t="s">
        <v>6</v>
      </c>
      <c r="Z403" s="4">
        <v>63814</v>
      </c>
      <c r="AA403" s="4"/>
    </row>
    <row r="404" spans="4:27" ht="15">
      <c r="D404" s="28"/>
      <c r="E404" s="28"/>
      <c r="F404" s="28"/>
      <c r="H404" s="17"/>
      <c r="I404" s="17"/>
      <c r="J404" s="17"/>
      <c r="K404" s="17"/>
      <c r="L404" s="17"/>
      <c r="M404" s="17"/>
      <c r="Y404" s="4" t="s">
        <v>6</v>
      </c>
      <c r="Z404" s="4">
        <v>63814</v>
      </c>
      <c r="AA404" s="4"/>
    </row>
    <row r="405" spans="4:27" ht="15">
      <c r="D405" s="28"/>
      <c r="E405" s="28"/>
      <c r="F405" s="28"/>
      <c r="H405" s="17"/>
      <c r="I405" s="17"/>
      <c r="J405" s="17"/>
      <c r="K405" s="17"/>
      <c r="L405" s="17"/>
      <c r="M405" s="17"/>
      <c r="Y405" s="4" t="s">
        <v>6</v>
      </c>
      <c r="Z405" s="4">
        <v>63814</v>
      </c>
      <c r="AA405" s="4"/>
    </row>
    <row r="406" spans="4:27" ht="15">
      <c r="D406" s="28"/>
      <c r="E406" s="28"/>
      <c r="F406" s="28"/>
      <c r="H406" s="17"/>
      <c r="I406" s="17"/>
      <c r="J406" s="17"/>
      <c r="K406" s="17"/>
      <c r="L406" s="17"/>
      <c r="M406" s="17"/>
      <c r="Y406" s="4" t="s">
        <v>6</v>
      </c>
      <c r="Z406" s="4">
        <v>63814</v>
      </c>
      <c r="AA406" s="4"/>
    </row>
    <row r="407" spans="4:27" ht="15">
      <c r="D407" s="28"/>
      <c r="E407" s="28"/>
      <c r="F407" s="28"/>
      <c r="H407" s="17"/>
      <c r="I407" s="17"/>
      <c r="J407" s="17"/>
      <c r="K407" s="17"/>
      <c r="L407" s="17"/>
      <c r="M407" s="17"/>
      <c r="Y407" s="4" t="s">
        <v>6</v>
      </c>
      <c r="Z407" s="4">
        <v>63814</v>
      </c>
      <c r="AA407" s="4"/>
    </row>
    <row r="408" spans="4:27" ht="15">
      <c r="D408" s="28"/>
      <c r="E408" s="28"/>
      <c r="F408" s="28"/>
      <c r="H408" s="17"/>
      <c r="I408" s="17"/>
      <c r="J408" s="17"/>
      <c r="K408" s="17"/>
      <c r="L408" s="17"/>
      <c r="M408" s="17"/>
      <c r="Y408" s="4" t="s">
        <v>6</v>
      </c>
      <c r="Z408" s="4">
        <v>63814</v>
      </c>
      <c r="AA408" s="4"/>
    </row>
    <row r="409" spans="4:27" ht="15">
      <c r="D409" s="28"/>
      <c r="E409" s="28"/>
      <c r="F409" s="28"/>
      <c r="H409" s="17"/>
      <c r="I409" s="17"/>
      <c r="J409" s="17"/>
      <c r="K409" s="17"/>
      <c r="L409" s="17"/>
      <c r="M409" s="17"/>
      <c r="Y409" s="4" t="s">
        <v>6</v>
      </c>
      <c r="Z409" s="4">
        <v>63814</v>
      </c>
      <c r="AA409" s="4"/>
    </row>
    <row r="410" spans="4:27" ht="15">
      <c r="D410" s="28"/>
      <c r="E410" s="28"/>
      <c r="F410" s="28"/>
      <c r="H410" s="17"/>
      <c r="I410" s="17"/>
      <c r="J410" s="17"/>
      <c r="K410" s="17"/>
      <c r="L410" s="17"/>
      <c r="M410" s="17"/>
      <c r="Y410" s="4" t="s">
        <v>6</v>
      </c>
      <c r="Z410" s="4">
        <v>63814</v>
      </c>
      <c r="AA410" s="4"/>
    </row>
    <row r="411" spans="4:27" ht="15">
      <c r="D411" s="28"/>
      <c r="E411" s="28"/>
      <c r="F411" s="28"/>
      <c r="H411" s="17"/>
      <c r="I411" s="17"/>
      <c r="J411" s="17"/>
      <c r="K411" s="17"/>
      <c r="L411" s="17"/>
      <c r="M411" s="17"/>
      <c r="Y411" s="4" t="s">
        <v>6</v>
      </c>
      <c r="Z411" s="4">
        <v>63814</v>
      </c>
      <c r="AA411" s="4"/>
    </row>
    <row r="412" spans="4:27" ht="15">
      <c r="D412" s="28"/>
      <c r="E412" s="28"/>
      <c r="F412" s="28"/>
      <c r="H412" s="17"/>
      <c r="I412" s="17"/>
      <c r="J412" s="17"/>
      <c r="K412" s="17"/>
      <c r="L412" s="17"/>
      <c r="M412" s="17"/>
      <c r="Y412" s="4" t="s">
        <v>6</v>
      </c>
      <c r="Z412" s="4">
        <v>63814</v>
      </c>
      <c r="AA412" s="4"/>
    </row>
    <row r="413" spans="4:27" ht="15">
      <c r="D413" s="28"/>
      <c r="E413" s="28"/>
      <c r="F413" s="28"/>
      <c r="H413" s="17"/>
      <c r="I413" s="17"/>
      <c r="J413" s="17"/>
      <c r="K413" s="17"/>
      <c r="L413" s="17"/>
      <c r="M413" s="17"/>
      <c r="Y413" s="4" t="s">
        <v>6</v>
      </c>
      <c r="Z413" s="4">
        <v>63814</v>
      </c>
      <c r="AA413" s="4"/>
    </row>
    <row r="414" spans="4:27" ht="15">
      <c r="D414" s="28"/>
      <c r="E414" s="28"/>
      <c r="F414" s="28"/>
      <c r="H414" s="17"/>
      <c r="I414" s="17"/>
      <c r="J414" s="17"/>
      <c r="K414" s="17"/>
      <c r="L414" s="17"/>
      <c r="M414" s="17"/>
      <c r="Y414" s="4" t="s">
        <v>6</v>
      </c>
      <c r="Z414" s="4">
        <v>63814</v>
      </c>
      <c r="AA414" s="4"/>
    </row>
    <row r="415" spans="4:27" ht="15">
      <c r="D415" s="28"/>
      <c r="E415" s="28"/>
      <c r="F415" s="28"/>
      <c r="H415" s="17"/>
      <c r="I415" s="17"/>
      <c r="J415" s="17"/>
      <c r="K415" s="17"/>
      <c r="L415" s="17"/>
      <c r="M415" s="17"/>
      <c r="Y415" s="4" t="s">
        <v>6</v>
      </c>
      <c r="Z415" s="4">
        <v>63814</v>
      </c>
      <c r="AA415" s="4"/>
    </row>
    <row r="416" spans="4:27" ht="15">
      <c r="D416" s="28"/>
      <c r="E416" s="28"/>
      <c r="F416" s="28"/>
      <c r="H416" s="17"/>
      <c r="I416" s="17"/>
      <c r="J416" s="17"/>
      <c r="K416" s="17"/>
      <c r="L416" s="17"/>
      <c r="M416" s="17"/>
      <c r="Y416" s="4" t="s">
        <v>6</v>
      </c>
      <c r="Z416" s="4">
        <v>63815</v>
      </c>
      <c r="AA416" s="4"/>
    </row>
    <row r="417" spans="4:27" ht="15">
      <c r="D417" s="28"/>
      <c r="E417" s="28"/>
      <c r="F417" s="28"/>
      <c r="H417" s="17"/>
      <c r="I417" s="17"/>
      <c r="J417" s="17"/>
      <c r="K417" s="17"/>
      <c r="L417" s="17"/>
      <c r="M417" s="17"/>
      <c r="Y417" s="4" t="s">
        <v>6</v>
      </c>
      <c r="Z417" s="4">
        <v>63815</v>
      </c>
      <c r="AA417" s="4"/>
    </row>
    <row r="418" spans="4:27" ht="15">
      <c r="D418" s="28"/>
      <c r="E418" s="28"/>
      <c r="F418" s="28"/>
      <c r="H418" s="17"/>
      <c r="I418" s="17"/>
      <c r="J418" s="17"/>
      <c r="K418" s="17"/>
      <c r="L418" s="17"/>
      <c r="M418" s="17"/>
      <c r="Y418" s="4" t="s">
        <v>6</v>
      </c>
      <c r="Z418" s="4">
        <v>63815</v>
      </c>
      <c r="AA418" s="4"/>
    </row>
    <row r="419" spans="4:27" ht="15">
      <c r="D419" s="28"/>
      <c r="E419" s="28"/>
      <c r="F419" s="28"/>
      <c r="H419" s="17"/>
      <c r="I419" s="17"/>
      <c r="J419" s="17"/>
      <c r="K419" s="17"/>
      <c r="L419" s="17"/>
      <c r="M419" s="17"/>
      <c r="Y419" s="4" t="s">
        <v>6</v>
      </c>
      <c r="Z419" s="4">
        <v>64101</v>
      </c>
      <c r="AA419" s="4"/>
    </row>
    <row r="420" spans="4:27" ht="15">
      <c r="D420" s="28"/>
      <c r="E420" s="28"/>
      <c r="F420" s="28"/>
      <c r="H420" s="17"/>
      <c r="I420" s="17"/>
      <c r="J420" s="17"/>
      <c r="K420" s="17"/>
      <c r="L420" s="17"/>
      <c r="M420" s="17"/>
      <c r="Y420" s="4" t="s">
        <v>6</v>
      </c>
      <c r="Z420" s="4">
        <v>64101</v>
      </c>
      <c r="AA420" s="4"/>
    </row>
    <row r="421" spans="4:27" ht="15">
      <c r="D421" s="28"/>
      <c r="E421" s="28"/>
      <c r="F421" s="28"/>
      <c r="H421" s="17"/>
      <c r="I421" s="17"/>
      <c r="J421" s="17"/>
      <c r="K421" s="17"/>
      <c r="L421" s="17"/>
      <c r="M421" s="17"/>
      <c r="Y421" s="4" t="s">
        <v>6</v>
      </c>
      <c r="Z421" s="4">
        <v>64101</v>
      </c>
      <c r="AA421" s="4"/>
    </row>
    <row r="422" spans="4:27" ht="15">
      <c r="D422" s="28"/>
      <c r="E422" s="28"/>
      <c r="F422" s="28"/>
      <c r="H422" s="17"/>
      <c r="I422" s="17"/>
      <c r="J422" s="17"/>
      <c r="K422" s="17"/>
      <c r="L422" s="17"/>
      <c r="M422" s="17"/>
      <c r="Y422" s="4" t="s">
        <v>6</v>
      </c>
      <c r="Z422" s="4">
        <v>64652</v>
      </c>
      <c r="AA422" s="4"/>
    </row>
    <row r="423" spans="4:27" ht="15">
      <c r="D423" s="28"/>
      <c r="E423" s="28"/>
      <c r="F423" s="28"/>
      <c r="H423" s="17"/>
      <c r="I423" s="17"/>
      <c r="J423" s="17"/>
      <c r="K423" s="17"/>
      <c r="L423" s="17"/>
      <c r="M423" s="17"/>
      <c r="Y423" s="4" t="s">
        <v>6</v>
      </c>
      <c r="Z423" s="4">
        <v>64652</v>
      </c>
      <c r="AA423" s="4"/>
    </row>
    <row r="424" spans="4:27" ht="15">
      <c r="D424" s="28"/>
      <c r="E424" s="28"/>
      <c r="F424" s="28"/>
      <c r="H424" s="17"/>
      <c r="I424" s="17"/>
      <c r="J424" s="17"/>
      <c r="K424" s="17"/>
      <c r="L424" s="17"/>
      <c r="M424" s="17"/>
      <c r="Y424" s="4" t="s">
        <v>6</v>
      </c>
      <c r="Z424" s="4">
        <v>64652</v>
      </c>
      <c r="AA424" s="4"/>
    </row>
    <row r="425" spans="4:27" ht="15">
      <c r="D425" s="28"/>
      <c r="E425" s="28"/>
      <c r="F425" s="28"/>
      <c r="H425" s="17"/>
      <c r="I425" s="17"/>
      <c r="J425" s="17"/>
      <c r="K425" s="17"/>
      <c r="L425" s="17"/>
      <c r="M425" s="17"/>
      <c r="Y425" s="4" t="s">
        <v>6</v>
      </c>
      <c r="Z425" s="4">
        <v>64652</v>
      </c>
      <c r="AA425" s="4"/>
    </row>
    <row r="426" spans="4:27" ht="15">
      <c r="D426" s="28"/>
      <c r="E426" s="28"/>
      <c r="F426" s="28"/>
      <c r="H426" s="17"/>
      <c r="I426" s="17"/>
      <c r="J426" s="17"/>
      <c r="K426" s="17"/>
      <c r="L426" s="17"/>
      <c r="M426" s="17"/>
      <c r="Y426" s="4" t="s">
        <v>6</v>
      </c>
      <c r="Z426" s="4">
        <v>66597</v>
      </c>
      <c r="AA426" s="4"/>
    </row>
    <row r="427" spans="4:27" ht="15">
      <c r="D427" s="28"/>
      <c r="E427" s="28"/>
      <c r="F427" s="28"/>
      <c r="H427" s="17"/>
      <c r="I427" s="17"/>
      <c r="J427" s="17"/>
      <c r="K427" s="17"/>
      <c r="L427" s="17"/>
      <c r="M427" s="17"/>
      <c r="Y427" s="4" t="s">
        <v>6</v>
      </c>
      <c r="Z427" s="4">
        <v>66597</v>
      </c>
      <c r="AA427" s="4"/>
    </row>
    <row r="428" spans="4:27" ht="15">
      <c r="D428" s="28"/>
      <c r="E428" s="28"/>
      <c r="F428" s="28"/>
      <c r="H428" s="17"/>
      <c r="I428" s="17"/>
      <c r="J428" s="17"/>
      <c r="K428" s="17"/>
      <c r="L428" s="17"/>
      <c r="M428" s="17"/>
      <c r="Y428" s="4" t="s">
        <v>6</v>
      </c>
      <c r="Z428" s="4">
        <v>66597</v>
      </c>
      <c r="AA428" s="4"/>
    </row>
    <row r="429" spans="4:27" ht="15">
      <c r="D429" s="28"/>
      <c r="E429" s="28"/>
      <c r="F429" s="28"/>
      <c r="H429" s="17"/>
      <c r="I429" s="17"/>
      <c r="J429" s="17"/>
      <c r="K429" s="17"/>
      <c r="L429" s="17"/>
      <c r="M429" s="17"/>
      <c r="Y429" s="4" t="s">
        <v>6</v>
      </c>
      <c r="Z429" s="4">
        <v>66597</v>
      </c>
      <c r="AA429" s="4"/>
    </row>
    <row r="430" spans="4:27" ht="15">
      <c r="D430" s="28"/>
      <c r="E430" s="28"/>
      <c r="F430" s="28"/>
      <c r="H430" s="17"/>
      <c r="I430" s="17"/>
      <c r="J430" s="17"/>
      <c r="K430" s="17"/>
      <c r="L430" s="17"/>
      <c r="M430" s="17"/>
      <c r="Y430" s="4" t="s">
        <v>6</v>
      </c>
      <c r="Z430" s="4">
        <v>66598</v>
      </c>
      <c r="AA430" s="4"/>
    </row>
    <row r="431" spans="4:27" ht="15">
      <c r="D431" s="28"/>
      <c r="E431" s="28"/>
      <c r="F431" s="28"/>
      <c r="H431" s="17"/>
      <c r="I431" s="17"/>
      <c r="J431" s="17"/>
      <c r="K431" s="17"/>
      <c r="L431" s="17"/>
      <c r="M431" s="17"/>
      <c r="Y431" s="4" t="s">
        <v>6</v>
      </c>
      <c r="Z431" s="4">
        <v>66598</v>
      </c>
      <c r="AA431" s="4"/>
    </row>
    <row r="432" spans="4:27" ht="15">
      <c r="D432" s="28"/>
      <c r="E432" s="28"/>
      <c r="F432" s="28"/>
      <c r="H432" s="17"/>
      <c r="I432" s="17"/>
      <c r="J432" s="17"/>
      <c r="K432" s="17"/>
      <c r="L432" s="17"/>
      <c r="M432" s="17"/>
      <c r="Y432" s="4" t="s">
        <v>6</v>
      </c>
      <c r="Z432" s="4">
        <v>66598</v>
      </c>
      <c r="AA432" s="4"/>
    </row>
    <row r="433" spans="4:27" ht="15">
      <c r="D433" s="28"/>
      <c r="E433" s="28"/>
      <c r="F433" s="28"/>
      <c r="H433" s="17"/>
      <c r="I433" s="17"/>
      <c r="J433" s="17"/>
      <c r="K433" s="17"/>
      <c r="L433" s="17"/>
      <c r="M433" s="17"/>
      <c r="Y433" s="4" t="s">
        <v>6</v>
      </c>
      <c r="Z433" s="4">
        <v>66598</v>
      </c>
      <c r="AA433" s="4"/>
    </row>
    <row r="434" spans="4:27" ht="15">
      <c r="D434" s="28"/>
      <c r="E434" s="28"/>
      <c r="F434" s="28"/>
      <c r="H434" s="17"/>
      <c r="I434" s="17"/>
      <c r="J434" s="17"/>
      <c r="K434" s="17" t="s">
        <v>174</v>
      </c>
      <c r="L434" s="17"/>
      <c r="M434" s="17"/>
      <c r="Y434" s="4" t="s">
        <v>6</v>
      </c>
      <c r="Z434" s="4">
        <v>66887</v>
      </c>
      <c r="AA434" s="4"/>
    </row>
    <row r="435" spans="4:27" ht="15">
      <c r="D435" s="28"/>
      <c r="E435" s="28"/>
      <c r="F435" s="28"/>
      <c r="H435" s="17"/>
      <c r="I435" s="17"/>
      <c r="J435" s="17"/>
      <c r="K435" s="17"/>
      <c r="L435" s="17"/>
      <c r="M435" s="17"/>
      <c r="Y435" s="4" t="s">
        <v>6</v>
      </c>
      <c r="Z435" s="4">
        <v>66891</v>
      </c>
      <c r="AA435" s="4"/>
    </row>
    <row r="436" spans="4:27" ht="15">
      <c r="D436" s="28"/>
      <c r="E436" s="28"/>
      <c r="F436" s="28"/>
      <c r="H436" s="17"/>
      <c r="I436" s="17"/>
      <c r="J436" s="17"/>
      <c r="K436" s="17"/>
      <c r="L436" s="17"/>
      <c r="M436" s="17"/>
      <c r="Y436" s="4" t="s">
        <v>6</v>
      </c>
      <c r="Z436" s="4">
        <v>67900</v>
      </c>
      <c r="AA436" s="4"/>
    </row>
    <row r="437" spans="4:27" ht="15">
      <c r="D437" s="28"/>
      <c r="E437" s="28"/>
      <c r="F437" s="28"/>
      <c r="H437" s="17"/>
      <c r="I437" s="17"/>
      <c r="J437" s="17"/>
      <c r="K437" s="17"/>
      <c r="L437" s="17"/>
      <c r="M437" s="17"/>
      <c r="Y437" s="4" t="s">
        <v>6</v>
      </c>
      <c r="Z437" s="4">
        <v>7309</v>
      </c>
      <c r="AA437" s="4"/>
    </row>
    <row r="438" spans="4:27" ht="15">
      <c r="D438" s="28"/>
      <c r="E438" s="28"/>
      <c r="F438" s="28"/>
      <c r="H438" s="17"/>
      <c r="I438" s="17"/>
      <c r="J438" s="17"/>
      <c r="K438" s="17"/>
      <c r="L438" s="17"/>
      <c r="M438" s="17"/>
      <c r="Y438" s="4" t="s">
        <v>6</v>
      </c>
      <c r="Z438" s="4">
        <v>7310</v>
      </c>
      <c r="AA438" s="4"/>
    </row>
    <row r="439" spans="4:27" ht="15">
      <c r="D439" s="28"/>
      <c r="E439" s="28"/>
      <c r="F439" s="28"/>
      <c r="H439" s="17"/>
      <c r="I439" s="17"/>
      <c r="J439" s="17"/>
      <c r="K439" s="17"/>
      <c r="L439" s="17"/>
      <c r="M439" s="17"/>
      <c r="Y439" s="4" t="s">
        <v>6</v>
      </c>
      <c r="Z439" s="4">
        <v>77923</v>
      </c>
      <c r="AA439" s="4"/>
    </row>
    <row r="440" spans="4:27" ht="15">
      <c r="D440" s="28"/>
      <c r="E440" s="28"/>
      <c r="F440" s="28"/>
      <c r="H440" s="17"/>
      <c r="I440" s="17"/>
      <c r="J440" s="17"/>
      <c r="K440" s="17"/>
      <c r="L440" s="17"/>
      <c r="M440" s="17"/>
      <c r="Y440" s="4" t="s">
        <v>6</v>
      </c>
      <c r="Z440" s="4">
        <v>78785</v>
      </c>
      <c r="AA440" s="4"/>
    </row>
    <row r="441" spans="4:27" ht="15">
      <c r="D441" s="28"/>
      <c r="E441" s="28"/>
      <c r="F441" s="28"/>
      <c r="H441" s="17"/>
      <c r="I441" s="17"/>
      <c r="J441" s="17"/>
      <c r="K441" s="17"/>
      <c r="L441" s="17"/>
      <c r="M441" s="17"/>
      <c r="Y441" s="4" t="s">
        <v>6</v>
      </c>
      <c r="Z441" s="4">
        <v>78785</v>
      </c>
      <c r="AA441" s="4"/>
    </row>
    <row r="442" spans="4:27" ht="15">
      <c r="D442" s="28"/>
      <c r="E442" s="28"/>
      <c r="F442" s="28"/>
      <c r="H442" s="17"/>
      <c r="I442" s="17"/>
      <c r="J442" s="17"/>
      <c r="K442" s="17"/>
      <c r="L442" s="17"/>
      <c r="M442" s="17"/>
      <c r="Y442" s="4" t="s">
        <v>6</v>
      </c>
      <c r="Z442" s="4">
        <v>78785</v>
      </c>
      <c r="AA442" s="4"/>
    </row>
    <row r="443" spans="4:27" ht="15">
      <c r="D443" s="28"/>
      <c r="E443" s="28"/>
      <c r="F443" s="28"/>
      <c r="H443" s="17"/>
      <c r="I443" s="17"/>
      <c r="J443" s="17"/>
      <c r="K443" s="17"/>
      <c r="L443" s="17"/>
      <c r="M443" s="17"/>
      <c r="Y443" s="4" t="s">
        <v>6</v>
      </c>
      <c r="Z443" s="4">
        <v>78785</v>
      </c>
      <c r="AA443" s="4"/>
    </row>
    <row r="444" spans="4:27" ht="15">
      <c r="D444" s="28"/>
      <c r="E444" s="28"/>
      <c r="F444" s="28"/>
      <c r="H444" s="17"/>
      <c r="I444" s="17"/>
      <c r="J444" s="17"/>
      <c r="K444" s="17"/>
      <c r="L444" s="17"/>
      <c r="M444" s="17"/>
      <c r="Y444" s="4" t="s">
        <v>6</v>
      </c>
      <c r="Z444" s="4">
        <v>78786</v>
      </c>
      <c r="AA444" s="4"/>
    </row>
    <row r="445" spans="4:27" ht="15">
      <c r="D445" s="28"/>
      <c r="E445" s="28"/>
      <c r="F445" s="28"/>
      <c r="H445" s="17"/>
      <c r="I445" s="17"/>
      <c r="J445" s="17"/>
      <c r="K445" s="17"/>
      <c r="L445" s="17"/>
      <c r="M445" s="17"/>
      <c r="Y445" s="4" t="s">
        <v>6</v>
      </c>
      <c r="Z445" s="4">
        <v>78786</v>
      </c>
      <c r="AA445" s="4"/>
    </row>
    <row r="446" spans="4:27" ht="15">
      <c r="D446" s="28"/>
      <c r="E446" s="28"/>
      <c r="F446" s="28"/>
      <c r="H446" s="17"/>
      <c r="I446" s="17"/>
      <c r="J446" s="17"/>
      <c r="K446" s="17"/>
      <c r="L446" s="17"/>
      <c r="M446" s="17"/>
      <c r="Y446" s="4" t="s">
        <v>6</v>
      </c>
      <c r="Z446" s="4">
        <v>78786</v>
      </c>
      <c r="AA446" s="4"/>
    </row>
    <row r="447" spans="4:27" ht="15">
      <c r="D447" s="28"/>
      <c r="E447" s="28"/>
      <c r="F447" s="28"/>
      <c r="H447" s="17"/>
      <c r="I447" s="17"/>
      <c r="J447" s="17"/>
      <c r="K447" s="17"/>
      <c r="L447" s="17"/>
      <c r="M447" s="17"/>
      <c r="Y447" s="4" t="s">
        <v>6</v>
      </c>
      <c r="Z447" s="4">
        <v>78786</v>
      </c>
      <c r="AA447" s="4"/>
    </row>
    <row r="448" spans="4:27" ht="15">
      <c r="D448" s="28"/>
      <c r="E448" s="28"/>
      <c r="F448" s="28"/>
      <c r="H448" s="17"/>
      <c r="I448" s="17"/>
      <c r="J448" s="17"/>
      <c r="K448" s="17"/>
      <c r="L448" s="17"/>
      <c r="M448" s="17"/>
      <c r="Y448" s="4" t="s">
        <v>6</v>
      </c>
      <c r="Z448" s="4">
        <v>78786</v>
      </c>
      <c r="AA448" s="4"/>
    </row>
    <row r="449" spans="4:27" ht="15">
      <c r="D449" s="28"/>
      <c r="E449" s="28"/>
      <c r="F449" s="28"/>
      <c r="H449" s="17"/>
      <c r="I449" s="17"/>
      <c r="J449" s="17"/>
      <c r="K449" s="17"/>
      <c r="L449" s="17"/>
      <c r="M449" s="17"/>
      <c r="Y449" s="4" t="s">
        <v>6</v>
      </c>
      <c r="Z449" s="4">
        <v>78786</v>
      </c>
      <c r="AA449" s="4"/>
    </row>
    <row r="450" spans="4:27" ht="15">
      <c r="D450" s="28"/>
      <c r="E450" s="28"/>
      <c r="F450" s="28"/>
      <c r="H450" s="17"/>
      <c r="I450" s="17"/>
      <c r="J450" s="17"/>
      <c r="K450" s="17"/>
      <c r="L450" s="17"/>
      <c r="M450" s="17"/>
      <c r="Y450" s="4" t="s">
        <v>6</v>
      </c>
      <c r="Z450" s="4">
        <v>79220</v>
      </c>
      <c r="AA450" s="4"/>
    </row>
    <row r="451" spans="4:27" ht="15">
      <c r="D451" s="28"/>
      <c r="E451" s="28"/>
      <c r="F451" s="28"/>
      <c r="H451" s="17"/>
      <c r="I451" s="17"/>
      <c r="J451" s="17"/>
      <c r="K451" s="17"/>
      <c r="L451" s="17"/>
      <c r="M451" s="17"/>
      <c r="Y451" s="4" t="s">
        <v>6</v>
      </c>
      <c r="Z451" s="4">
        <v>79220</v>
      </c>
      <c r="AA451" s="4"/>
    </row>
    <row r="452" spans="4:27" ht="15">
      <c r="D452" s="28"/>
      <c r="E452" s="28"/>
      <c r="F452" s="28"/>
      <c r="H452" s="17"/>
      <c r="I452" s="17"/>
      <c r="J452" s="17"/>
      <c r="K452" s="17"/>
      <c r="L452" s="17"/>
      <c r="M452" s="17"/>
      <c r="Y452" s="4" t="s">
        <v>6</v>
      </c>
      <c r="Z452" s="4">
        <v>79220</v>
      </c>
      <c r="AA452" s="4"/>
    </row>
    <row r="453" spans="4:27" ht="15">
      <c r="D453" s="28"/>
      <c r="E453" s="28"/>
      <c r="F453" s="28"/>
      <c r="H453" s="17"/>
      <c r="I453" s="17"/>
      <c r="J453" s="17"/>
      <c r="K453" s="17"/>
      <c r="L453" s="17"/>
      <c r="M453" s="17"/>
      <c r="Y453" s="4" t="s">
        <v>6</v>
      </c>
      <c r="Z453" s="4">
        <v>79220</v>
      </c>
      <c r="AA453" s="4"/>
    </row>
    <row r="454" spans="4:27" ht="15">
      <c r="D454" s="28"/>
      <c r="E454" s="28"/>
      <c r="F454" s="28"/>
      <c r="H454" s="17"/>
      <c r="I454" s="17"/>
      <c r="J454" s="17"/>
      <c r="K454" s="17"/>
      <c r="L454" s="17"/>
      <c r="M454" s="17"/>
      <c r="Y454" s="4" t="s">
        <v>6</v>
      </c>
      <c r="Z454" s="4">
        <v>79220</v>
      </c>
      <c r="AA454" s="4"/>
    </row>
    <row r="455" spans="4:27" ht="15">
      <c r="D455" s="28"/>
      <c r="E455" s="28"/>
      <c r="F455" s="28"/>
      <c r="H455" s="17"/>
      <c r="I455" s="17"/>
      <c r="J455" s="17"/>
      <c r="K455" s="17"/>
      <c r="L455" s="17"/>
      <c r="M455" s="17"/>
      <c r="Y455" s="4" t="s">
        <v>6</v>
      </c>
      <c r="Z455" s="4">
        <v>79220</v>
      </c>
      <c r="AA455" s="4"/>
    </row>
    <row r="456" spans="4:27" ht="15">
      <c r="D456" s="28"/>
      <c r="E456" s="28"/>
      <c r="F456" s="28"/>
      <c r="H456" s="17"/>
      <c r="I456" s="17"/>
      <c r="J456" s="17"/>
      <c r="K456" s="17"/>
      <c r="L456" s="17"/>
      <c r="M456" s="17"/>
      <c r="Y456" s="4" t="s">
        <v>6</v>
      </c>
      <c r="Z456" s="4">
        <v>79220</v>
      </c>
      <c r="AA456" s="4"/>
    </row>
    <row r="457" spans="4:27" ht="15">
      <c r="D457" s="28"/>
      <c r="E457" s="28"/>
      <c r="F457" s="28"/>
      <c r="H457" s="17"/>
      <c r="I457" s="17"/>
      <c r="J457" s="17"/>
      <c r="K457" s="17"/>
      <c r="L457" s="17"/>
      <c r="M457" s="17"/>
      <c r="Y457" s="4" t="s">
        <v>6</v>
      </c>
      <c r="Z457" s="4">
        <v>79220</v>
      </c>
      <c r="AA457" s="4"/>
    </row>
    <row r="458" spans="4:27" ht="15">
      <c r="D458" s="28"/>
      <c r="E458" s="28"/>
      <c r="F458" s="28"/>
      <c r="H458" s="17"/>
      <c r="I458" s="17"/>
      <c r="J458" s="17"/>
      <c r="K458" s="17"/>
      <c r="L458" s="17"/>
      <c r="M458" s="17"/>
      <c r="Y458" s="4" t="s">
        <v>6</v>
      </c>
      <c r="Z458" s="4">
        <v>79220</v>
      </c>
      <c r="AA458" s="4"/>
    </row>
    <row r="459" spans="4:27" ht="15">
      <c r="D459" s="28"/>
      <c r="E459" s="28"/>
      <c r="F459" s="28"/>
      <c r="H459" s="17"/>
      <c r="I459" s="17"/>
      <c r="J459" s="17"/>
      <c r="K459" s="17"/>
      <c r="L459" s="17"/>
      <c r="M459" s="17"/>
      <c r="Y459" s="4" t="s">
        <v>6</v>
      </c>
      <c r="Z459" s="4">
        <v>79220</v>
      </c>
      <c r="AA459" s="4"/>
    </row>
    <row r="460" spans="4:27" ht="15">
      <c r="D460" s="28"/>
      <c r="E460" s="28"/>
      <c r="F460" s="28"/>
      <c r="H460" s="17"/>
      <c r="I460" s="17"/>
      <c r="J460" s="17"/>
      <c r="K460" s="17"/>
      <c r="L460" s="17"/>
      <c r="M460" s="17"/>
      <c r="Y460" s="4" t="s">
        <v>6</v>
      </c>
      <c r="Z460" s="4">
        <v>79220</v>
      </c>
      <c r="AA460" s="4"/>
    </row>
    <row r="461" spans="4:27" ht="15">
      <c r="D461" s="28"/>
      <c r="E461" s="28"/>
      <c r="F461" s="28"/>
      <c r="H461" s="17"/>
      <c r="I461" s="17"/>
      <c r="J461" s="17"/>
      <c r="K461" s="17"/>
      <c r="L461" s="17"/>
      <c r="M461" s="17"/>
      <c r="Y461" s="4" t="s">
        <v>6</v>
      </c>
      <c r="Z461" s="4">
        <v>79220</v>
      </c>
      <c r="AA461" s="4"/>
    </row>
    <row r="462" spans="4:27" ht="15">
      <c r="D462" s="28"/>
      <c r="E462" s="28"/>
      <c r="F462" s="28"/>
      <c r="H462" s="17"/>
      <c r="I462" s="17"/>
      <c r="J462" s="17"/>
      <c r="K462" s="17"/>
      <c r="L462" s="17"/>
      <c r="M462" s="17"/>
      <c r="Y462" s="4" t="s">
        <v>6</v>
      </c>
      <c r="Z462" s="4">
        <v>79220</v>
      </c>
      <c r="AA462" s="4"/>
    </row>
    <row r="463" spans="4:27" ht="15">
      <c r="D463" s="28"/>
      <c r="E463" s="28"/>
      <c r="F463" s="28"/>
      <c r="H463" s="17"/>
      <c r="I463" s="17"/>
      <c r="J463" s="17"/>
      <c r="K463" s="17"/>
      <c r="L463" s="17"/>
      <c r="M463" s="17"/>
      <c r="Y463" s="4" t="s">
        <v>6</v>
      </c>
      <c r="Z463" s="4">
        <v>79220</v>
      </c>
      <c r="AA463" s="4"/>
    </row>
    <row r="464" spans="4:27" ht="15">
      <c r="D464" s="28"/>
      <c r="E464" s="28"/>
      <c r="F464" s="28"/>
      <c r="H464" s="17"/>
      <c r="I464" s="17"/>
      <c r="J464" s="17"/>
      <c r="K464" s="17"/>
      <c r="L464" s="17"/>
      <c r="M464" s="17"/>
      <c r="Y464" s="4" t="s">
        <v>6</v>
      </c>
      <c r="Z464" s="4">
        <v>79220</v>
      </c>
      <c r="AA464" s="4"/>
    </row>
    <row r="465" spans="4:27" ht="15">
      <c r="D465" s="28"/>
      <c r="E465" s="28"/>
      <c r="F465" s="28"/>
      <c r="H465" s="17"/>
      <c r="I465" s="17"/>
      <c r="J465" s="17"/>
      <c r="K465" s="17"/>
      <c r="L465" s="17"/>
      <c r="M465" s="17"/>
      <c r="Y465" s="4" t="s">
        <v>6</v>
      </c>
      <c r="Z465" s="4">
        <v>79220</v>
      </c>
      <c r="AA465" s="4"/>
    </row>
    <row r="466" spans="4:27" ht="15">
      <c r="D466" s="28"/>
      <c r="E466" s="28"/>
      <c r="F466" s="28"/>
      <c r="H466" s="17"/>
      <c r="I466" s="17"/>
      <c r="J466" s="17"/>
      <c r="K466" s="17"/>
      <c r="L466" s="17"/>
      <c r="M466" s="17"/>
      <c r="Y466" s="4" t="s">
        <v>6</v>
      </c>
      <c r="Z466" s="4">
        <v>79220</v>
      </c>
      <c r="AA466" s="4"/>
    </row>
    <row r="467" spans="4:27" ht="15">
      <c r="D467" s="28"/>
      <c r="E467" s="28"/>
      <c r="F467" s="28"/>
      <c r="H467" s="17"/>
      <c r="I467" s="17"/>
      <c r="J467" s="17"/>
      <c r="K467" s="17"/>
      <c r="L467" s="17"/>
      <c r="M467" s="17"/>
      <c r="Y467" s="4" t="s">
        <v>6</v>
      </c>
      <c r="Z467" s="4">
        <v>79220</v>
      </c>
      <c r="AA467" s="4"/>
    </row>
    <row r="468" spans="4:27" ht="15">
      <c r="D468" s="28"/>
      <c r="E468" s="28"/>
      <c r="F468" s="28"/>
      <c r="H468" s="17"/>
      <c r="I468" s="17"/>
      <c r="J468" s="17"/>
      <c r="K468" s="17"/>
      <c r="L468" s="17"/>
      <c r="M468" s="17"/>
      <c r="Y468" s="4" t="s">
        <v>6</v>
      </c>
      <c r="Z468" s="4">
        <v>79220</v>
      </c>
      <c r="AA468" s="4"/>
    </row>
    <row r="469" spans="4:27" ht="15">
      <c r="D469" s="28"/>
      <c r="E469" s="28"/>
      <c r="F469" s="28"/>
      <c r="H469" s="17"/>
      <c r="I469" s="17"/>
      <c r="J469" s="17"/>
      <c r="K469" s="17"/>
      <c r="L469" s="17"/>
      <c r="M469" s="17"/>
      <c r="Y469" s="4" t="s">
        <v>6</v>
      </c>
      <c r="Z469" s="4">
        <v>79220</v>
      </c>
      <c r="AA469" s="4"/>
    </row>
    <row r="470" spans="4:27" ht="15">
      <c r="D470" s="28"/>
      <c r="E470" s="28"/>
      <c r="F470" s="28"/>
      <c r="H470" s="17"/>
      <c r="I470" s="17"/>
      <c r="J470" s="17"/>
      <c r="K470" s="17"/>
      <c r="L470" s="17"/>
      <c r="M470" s="17"/>
      <c r="Y470" s="4" t="s">
        <v>6</v>
      </c>
      <c r="Z470" s="4">
        <v>79220</v>
      </c>
      <c r="AA470" s="4"/>
    </row>
    <row r="471" spans="4:27" ht="15">
      <c r="D471" s="28"/>
      <c r="E471" s="28"/>
      <c r="F471" s="28"/>
      <c r="H471" s="17"/>
      <c r="I471" s="17"/>
      <c r="J471" s="17"/>
      <c r="K471" s="17"/>
      <c r="L471" s="17"/>
      <c r="M471" s="17"/>
      <c r="Y471" s="4" t="s">
        <v>6</v>
      </c>
      <c r="Z471" s="4">
        <v>79220</v>
      </c>
      <c r="AA471" s="4"/>
    </row>
    <row r="472" spans="4:27" ht="15">
      <c r="D472" s="28"/>
      <c r="E472" s="28"/>
      <c r="F472" s="28"/>
      <c r="H472" s="17"/>
      <c r="I472" s="17"/>
      <c r="J472" s="17"/>
      <c r="K472" s="17"/>
      <c r="L472" s="17"/>
      <c r="M472" s="17"/>
      <c r="Y472" s="4" t="s">
        <v>6</v>
      </c>
      <c r="Z472" s="4">
        <v>79220</v>
      </c>
      <c r="AA472" s="4"/>
    </row>
    <row r="473" spans="4:27" ht="15">
      <c r="D473" s="28"/>
      <c r="E473" s="28"/>
      <c r="F473" s="28"/>
      <c r="H473" s="17"/>
      <c r="I473" s="17"/>
      <c r="J473" s="17"/>
      <c r="K473" s="17" t="s">
        <v>175</v>
      </c>
      <c r="L473" s="17" t="s">
        <v>176</v>
      </c>
      <c r="M473" s="17" t="s">
        <v>167</v>
      </c>
      <c r="Y473" s="4" t="s">
        <v>6</v>
      </c>
      <c r="Z473" s="4">
        <v>79220</v>
      </c>
      <c r="AA473" s="4"/>
    </row>
    <row r="474" spans="4:27" ht="15">
      <c r="D474" s="28"/>
      <c r="E474" s="28"/>
      <c r="F474" s="28"/>
      <c r="H474" s="17"/>
      <c r="I474" s="17"/>
      <c r="J474" s="17"/>
      <c r="K474" s="17"/>
      <c r="L474" s="17"/>
      <c r="M474" s="17"/>
      <c r="Y474" s="4" t="s">
        <v>6</v>
      </c>
      <c r="Z474" s="4">
        <v>79220</v>
      </c>
      <c r="AA474" s="4"/>
    </row>
    <row r="475" spans="4:27" ht="15">
      <c r="D475" s="28"/>
      <c r="E475" s="28"/>
      <c r="F475" s="28"/>
      <c r="H475" s="17"/>
      <c r="I475" s="17"/>
      <c r="J475" s="17"/>
      <c r="K475" s="17"/>
      <c r="L475" s="17"/>
      <c r="M475" s="17"/>
      <c r="Y475" s="4" t="s">
        <v>6</v>
      </c>
      <c r="Z475" s="4">
        <v>79220</v>
      </c>
      <c r="AA475" s="4"/>
    </row>
    <row r="476" spans="4:27" ht="15">
      <c r="D476" s="28"/>
      <c r="E476" s="28"/>
      <c r="F476" s="28"/>
      <c r="H476" s="17"/>
      <c r="I476" s="17"/>
      <c r="J476" s="17"/>
      <c r="K476" s="17"/>
      <c r="L476" s="17"/>
      <c r="M476" s="17"/>
      <c r="Y476" s="4" t="s">
        <v>6</v>
      </c>
      <c r="Z476" s="4">
        <v>79220</v>
      </c>
      <c r="AA476" s="4"/>
    </row>
    <row r="477" spans="4:27" ht="15">
      <c r="D477" s="28"/>
      <c r="E477" s="28"/>
      <c r="F477" s="28"/>
      <c r="H477" s="17"/>
      <c r="I477" s="17"/>
      <c r="J477" s="17"/>
      <c r="K477" s="17"/>
      <c r="L477" s="17"/>
      <c r="M477" s="17"/>
      <c r="Y477" s="4" t="s">
        <v>6</v>
      </c>
      <c r="Z477" s="4">
        <v>79220</v>
      </c>
      <c r="AA477" s="4"/>
    </row>
    <row r="478" spans="4:27" ht="15">
      <c r="D478" s="28"/>
      <c r="E478" s="28"/>
      <c r="F478" s="28"/>
      <c r="H478" s="17"/>
      <c r="I478" s="17"/>
      <c r="J478" s="17"/>
      <c r="K478" s="17"/>
      <c r="L478" s="17"/>
      <c r="M478" s="17"/>
      <c r="Y478" s="4" t="s">
        <v>6</v>
      </c>
      <c r="Z478" s="4">
        <v>79220</v>
      </c>
      <c r="AA478" s="4"/>
    </row>
    <row r="479" spans="4:27" ht="15">
      <c r="D479" s="28"/>
      <c r="E479" s="28"/>
      <c r="F479" s="28"/>
      <c r="H479" s="17"/>
      <c r="I479" s="17"/>
      <c r="J479" s="17"/>
      <c r="K479" s="17"/>
      <c r="L479" s="17"/>
      <c r="M479" s="17"/>
      <c r="Y479" s="4" t="s">
        <v>6</v>
      </c>
      <c r="Z479" s="4">
        <v>79220</v>
      </c>
      <c r="AA479" s="4"/>
    </row>
    <row r="480" spans="4:27" ht="15">
      <c r="D480" s="28"/>
      <c r="E480" s="28"/>
      <c r="F480" s="28"/>
      <c r="H480" s="17"/>
      <c r="I480" s="17"/>
      <c r="J480" s="17"/>
      <c r="K480" s="17"/>
      <c r="L480" s="17"/>
      <c r="M480" s="17"/>
      <c r="Y480" s="4" t="s">
        <v>6</v>
      </c>
      <c r="Z480" s="4">
        <v>79220</v>
      </c>
      <c r="AA480" s="4"/>
    </row>
    <row r="481" spans="4:27" ht="15">
      <c r="D481" s="28"/>
      <c r="E481" s="28"/>
      <c r="F481" s="28"/>
      <c r="H481" s="17"/>
      <c r="I481" s="17"/>
      <c r="J481" s="17"/>
      <c r="K481" s="17"/>
      <c r="L481" s="17"/>
      <c r="M481" s="17"/>
      <c r="Y481" s="4" t="s">
        <v>6</v>
      </c>
      <c r="Z481" s="4">
        <v>79220</v>
      </c>
      <c r="AA481" s="4"/>
    </row>
    <row r="482" spans="4:27" ht="15">
      <c r="D482" s="28"/>
      <c r="E482" s="28"/>
      <c r="F482" s="28"/>
      <c r="H482" s="17"/>
      <c r="I482" s="17"/>
      <c r="J482" s="17"/>
      <c r="K482" s="17"/>
      <c r="L482" s="17"/>
      <c r="M482" s="17"/>
      <c r="Y482" s="4" t="s">
        <v>6</v>
      </c>
      <c r="Z482" s="4">
        <v>79220</v>
      </c>
      <c r="AA482" s="4"/>
    </row>
    <row r="483" spans="4:27" ht="15">
      <c r="D483" s="28"/>
      <c r="E483" s="28"/>
      <c r="F483" s="28"/>
      <c r="H483" s="17"/>
      <c r="I483" s="17"/>
      <c r="J483" s="17"/>
      <c r="K483" s="17"/>
      <c r="L483" s="17"/>
      <c r="M483" s="17"/>
      <c r="Y483" s="4" t="s">
        <v>6</v>
      </c>
      <c r="Z483" s="4">
        <v>80145</v>
      </c>
      <c r="AA483" s="4"/>
    </row>
    <row r="484" spans="4:27" ht="15">
      <c r="D484" s="28"/>
      <c r="E484" s="28"/>
      <c r="F484" s="28"/>
      <c r="H484" s="17"/>
      <c r="I484" s="17"/>
      <c r="J484" s="17"/>
      <c r="K484" s="17"/>
      <c r="L484" s="17"/>
      <c r="M484" s="17"/>
      <c r="Y484" s="4" t="s">
        <v>6</v>
      </c>
      <c r="Z484" s="4">
        <v>80980</v>
      </c>
      <c r="AA484" s="4"/>
    </row>
    <row r="485" spans="4:27" ht="15">
      <c r="D485" s="28"/>
      <c r="E485" s="28"/>
      <c r="F485" s="28"/>
      <c r="H485" s="17"/>
      <c r="I485" s="17"/>
      <c r="J485" s="17"/>
      <c r="K485" s="17"/>
      <c r="L485" s="17"/>
      <c r="M485" s="17"/>
      <c r="Y485" s="4" t="s">
        <v>6</v>
      </c>
      <c r="Z485" s="4">
        <v>80980</v>
      </c>
      <c r="AA485" s="4"/>
    </row>
    <row r="486" spans="4:27" ht="15">
      <c r="D486" s="28"/>
      <c r="E486" s="28"/>
      <c r="F486" s="28"/>
      <c r="H486" s="17"/>
      <c r="I486" s="17"/>
      <c r="J486" s="17"/>
      <c r="K486" s="17"/>
      <c r="L486" s="17"/>
      <c r="M486" s="17"/>
      <c r="Y486" s="4" t="s">
        <v>6</v>
      </c>
      <c r="Z486" s="4">
        <v>80980</v>
      </c>
      <c r="AA486" s="4"/>
    </row>
    <row r="487" spans="4:27" ht="15">
      <c r="D487" s="28"/>
      <c r="E487" s="28"/>
      <c r="F487" s="28"/>
      <c r="H487" s="17"/>
      <c r="I487" s="17"/>
      <c r="J487" s="17"/>
      <c r="K487" s="17"/>
      <c r="L487" s="17"/>
      <c r="M487" s="17"/>
      <c r="Y487" s="4" t="s">
        <v>6</v>
      </c>
      <c r="Z487" s="4">
        <v>80980</v>
      </c>
      <c r="AA487" s="4"/>
    </row>
    <row r="488" spans="4:27" ht="15">
      <c r="D488" s="28"/>
      <c r="E488" s="28"/>
      <c r="F488" s="28"/>
      <c r="H488" s="17"/>
      <c r="I488" s="17"/>
      <c r="J488" s="17"/>
      <c r="K488" s="17"/>
      <c r="L488" s="17"/>
      <c r="M488" s="17"/>
      <c r="Y488" s="4" t="s">
        <v>6</v>
      </c>
      <c r="Z488" s="4">
        <v>80980</v>
      </c>
      <c r="AA488" s="4"/>
    </row>
    <row r="489" spans="4:27" ht="15">
      <c r="D489" s="28"/>
      <c r="E489" s="28"/>
      <c r="F489" s="28"/>
      <c r="H489" s="17"/>
      <c r="I489" s="17"/>
      <c r="J489" s="17"/>
      <c r="K489" s="17"/>
      <c r="L489" s="17"/>
      <c r="M489" s="17"/>
      <c r="Y489" s="4" t="s">
        <v>6</v>
      </c>
      <c r="Z489" s="4">
        <v>80980</v>
      </c>
      <c r="AA489" s="4"/>
    </row>
    <row r="490" spans="4:27" ht="15">
      <c r="D490" s="28"/>
      <c r="E490" s="28"/>
      <c r="F490" s="28"/>
      <c r="H490" s="17"/>
      <c r="I490" s="17"/>
      <c r="J490" s="17"/>
      <c r="K490" s="17"/>
      <c r="L490" s="17"/>
      <c r="M490" s="17"/>
      <c r="Y490" s="4" t="s">
        <v>6</v>
      </c>
      <c r="Z490" s="4">
        <v>80980</v>
      </c>
      <c r="AA490" s="4"/>
    </row>
    <row r="491" spans="4:27" ht="15">
      <c r="D491" s="28"/>
      <c r="E491" s="28"/>
      <c r="F491" s="28"/>
      <c r="H491" s="17"/>
      <c r="I491" s="17"/>
      <c r="J491" s="17"/>
      <c r="K491" s="17"/>
      <c r="L491" s="17"/>
      <c r="M491" s="17"/>
      <c r="Y491" s="4" t="s">
        <v>6</v>
      </c>
      <c r="Z491" s="4">
        <v>80980</v>
      </c>
      <c r="AA491" s="4"/>
    </row>
    <row r="492" spans="4:27" ht="15">
      <c r="D492" s="28"/>
      <c r="E492" s="28"/>
      <c r="F492" s="28"/>
      <c r="H492" s="17"/>
      <c r="I492" s="17"/>
      <c r="J492" s="17"/>
      <c r="K492" s="17"/>
      <c r="L492" s="17"/>
      <c r="M492" s="17"/>
      <c r="Y492" s="4" t="s">
        <v>6</v>
      </c>
      <c r="Z492" s="4">
        <v>80980</v>
      </c>
      <c r="AA492" s="4"/>
    </row>
    <row r="493" spans="4:27" ht="15">
      <c r="D493" s="28"/>
      <c r="E493" s="28"/>
      <c r="F493" s="28"/>
      <c r="H493" s="17"/>
      <c r="I493" s="17"/>
      <c r="J493" s="17"/>
      <c r="K493" s="17"/>
      <c r="L493" s="17"/>
      <c r="M493" s="17"/>
      <c r="Y493" s="4" t="s">
        <v>6</v>
      </c>
      <c r="Z493" s="4">
        <v>80981</v>
      </c>
      <c r="AA493" s="4"/>
    </row>
    <row r="494" spans="4:27" ht="15">
      <c r="D494" s="28"/>
      <c r="E494" s="28"/>
      <c r="F494" s="28"/>
      <c r="H494" s="17"/>
      <c r="I494" s="17"/>
      <c r="J494" s="17"/>
      <c r="K494" s="17"/>
      <c r="L494" s="17"/>
      <c r="M494" s="17"/>
      <c r="Y494" s="4" t="s">
        <v>6</v>
      </c>
      <c r="Z494" s="4">
        <v>80981</v>
      </c>
      <c r="AA494" s="4"/>
    </row>
    <row r="495" spans="4:27" ht="15">
      <c r="D495" s="28"/>
      <c r="E495" s="28"/>
      <c r="F495" s="28"/>
      <c r="H495" s="17"/>
      <c r="I495" s="17"/>
      <c r="J495" s="17"/>
      <c r="K495" s="17"/>
      <c r="L495" s="17"/>
      <c r="M495" s="17"/>
      <c r="Y495" s="4" t="s">
        <v>6</v>
      </c>
      <c r="Z495" s="4">
        <v>80981</v>
      </c>
      <c r="AA495" s="4"/>
    </row>
    <row r="496" spans="4:27" ht="15">
      <c r="D496" s="28"/>
      <c r="E496" s="28"/>
      <c r="F496" s="28"/>
      <c r="H496" s="17"/>
      <c r="I496" s="17"/>
      <c r="J496" s="17"/>
      <c r="K496" s="17"/>
      <c r="L496" s="17"/>
      <c r="M496" s="17"/>
      <c r="Y496" s="4" t="s">
        <v>6</v>
      </c>
      <c r="Z496" s="4">
        <v>80981</v>
      </c>
      <c r="AA496" s="4"/>
    </row>
    <row r="497" spans="4:27" ht="15">
      <c r="D497" s="28"/>
      <c r="E497" s="28"/>
      <c r="F497" s="28"/>
      <c r="H497" s="17"/>
      <c r="I497" s="17"/>
      <c r="J497" s="17"/>
      <c r="K497" s="17"/>
      <c r="L497" s="17"/>
      <c r="M497" s="17"/>
      <c r="Y497" s="4" t="s">
        <v>6</v>
      </c>
      <c r="Z497" s="4">
        <v>80981</v>
      </c>
      <c r="AA497" s="4"/>
    </row>
    <row r="498" spans="4:27" ht="15">
      <c r="D498" s="28"/>
      <c r="E498" s="28"/>
      <c r="F498" s="28"/>
      <c r="H498" s="17"/>
      <c r="I498" s="17"/>
      <c r="J498" s="17"/>
      <c r="K498" s="17"/>
      <c r="L498" s="17"/>
      <c r="M498" s="17"/>
      <c r="Y498" s="4" t="s">
        <v>6</v>
      </c>
      <c r="Z498" s="4">
        <v>80981</v>
      </c>
      <c r="AA498" s="4"/>
    </row>
    <row r="499" spans="4:27" ht="15">
      <c r="D499" s="28"/>
      <c r="E499" s="28"/>
      <c r="F499" s="28"/>
      <c r="H499" s="17"/>
      <c r="I499" s="17"/>
      <c r="J499" s="17"/>
      <c r="K499" s="17"/>
      <c r="L499" s="17"/>
      <c r="M499" s="17"/>
      <c r="Y499" s="4" t="s">
        <v>6</v>
      </c>
      <c r="Z499" s="4">
        <v>80981</v>
      </c>
      <c r="AA499" s="4"/>
    </row>
    <row r="500" spans="4:27" ht="15">
      <c r="D500" s="28"/>
      <c r="E500" s="28"/>
      <c r="F500" s="28"/>
      <c r="H500" s="17"/>
      <c r="I500" s="17"/>
      <c r="J500" s="17"/>
      <c r="K500" s="17"/>
      <c r="L500" s="17"/>
      <c r="M500" s="17"/>
      <c r="Y500" s="4" t="s">
        <v>6</v>
      </c>
      <c r="Z500" s="4">
        <v>80981</v>
      </c>
      <c r="AA500" s="4"/>
    </row>
    <row r="501" spans="4:27" ht="15">
      <c r="D501" s="28"/>
      <c r="E501" s="28"/>
      <c r="F501" s="28"/>
      <c r="H501" s="17"/>
      <c r="I501" s="17"/>
      <c r="J501" s="17"/>
      <c r="K501" s="17"/>
      <c r="L501" s="17"/>
      <c r="M501" s="17"/>
      <c r="Y501" s="4" t="s">
        <v>6</v>
      </c>
      <c r="Z501" s="4">
        <v>80981</v>
      </c>
      <c r="AA501" s="4"/>
    </row>
    <row r="502" spans="4:27" ht="15">
      <c r="D502" s="28"/>
      <c r="E502" s="28"/>
      <c r="F502" s="28"/>
      <c r="H502" s="17"/>
      <c r="I502" s="17"/>
      <c r="J502" s="17"/>
      <c r="K502" s="17"/>
      <c r="L502" s="17"/>
      <c r="M502" s="17"/>
      <c r="Y502" s="4" t="s">
        <v>6</v>
      </c>
      <c r="Z502" s="4">
        <v>81006</v>
      </c>
      <c r="AA502" s="4"/>
    </row>
    <row r="503" spans="4:27" ht="15">
      <c r="D503" s="28"/>
      <c r="E503" s="28"/>
      <c r="F503" s="28"/>
      <c r="H503" s="17"/>
      <c r="I503" s="17"/>
      <c r="J503" s="17"/>
      <c r="K503" s="17"/>
      <c r="L503" s="17"/>
      <c r="M503" s="17"/>
      <c r="Y503" s="4" t="s">
        <v>6</v>
      </c>
      <c r="Z503" s="4">
        <v>81006</v>
      </c>
      <c r="AA503" s="4"/>
    </row>
    <row r="504" spans="4:27" ht="15">
      <c r="D504" s="28"/>
      <c r="E504" s="28"/>
      <c r="F504" s="28"/>
      <c r="H504" s="17"/>
      <c r="I504" s="17"/>
      <c r="J504" s="17"/>
      <c r="K504" s="17"/>
      <c r="L504" s="17"/>
      <c r="M504" s="17"/>
      <c r="Y504" s="4" t="s">
        <v>6</v>
      </c>
      <c r="Z504" s="4">
        <v>81006</v>
      </c>
      <c r="AA504" s="4"/>
    </row>
    <row r="505" spans="4:27" ht="15">
      <c r="D505" s="28"/>
      <c r="E505" s="28"/>
      <c r="F505" s="28"/>
      <c r="H505" s="17"/>
      <c r="I505" s="17"/>
      <c r="J505" s="17"/>
      <c r="K505" s="17"/>
      <c r="L505" s="17"/>
      <c r="M505" s="17"/>
      <c r="Y505" s="4" t="s">
        <v>6</v>
      </c>
      <c r="Z505" s="4">
        <v>81006</v>
      </c>
      <c r="AA505" s="4"/>
    </row>
    <row r="506" spans="4:27" ht="15">
      <c r="D506" s="28"/>
      <c r="E506" s="28"/>
      <c r="F506" s="28"/>
      <c r="H506" s="17"/>
      <c r="I506" s="17"/>
      <c r="J506" s="17"/>
      <c r="K506" s="17"/>
      <c r="L506" s="17"/>
      <c r="M506" s="17"/>
      <c r="Y506" s="4" t="s">
        <v>6</v>
      </c>
      <c r="Z506" s="4">
        <v>81006</v>
      </c>
      <c r="AA506" s="4"/>
    </row>
    <row r="507" spans="4:27" ht="15">
      <c r="D507" s="28"/>
      <c r="E507" s="28"/>
      <c r="F507" s="28"/>
      <c r="H507" s="17"/>
      <c r="I507" s="17"/>
      <c r="J507" s="17"/>
      <c r="K507" s="17"/>
      <c r="L507" s="17"/>
      <c r="M507" s="17"/>
      <c r="Y507" s="4" t="s">
        <v>6</v>
      </c>
      <c r="Z507" s="4">
        <v>81006</v>
      </c>
      <c r="AA507" s="4"/>
    </row>
    <row r="508" spans="4:27" ht="15">
      <c r="D508" s="28"/>
      <c r="E508" s="28"/>
      <c r="F508" s="28"/>
      <c r="H508" s="17"/>
      <c r="I508" s="17"/>
      <c r="J508" s="17"/>
      <c r="K508" s="17"/>
      <c r="L508" s="17"/>
      <c r="M508" s="17"/>
      <c r="Y508" s="4" t="s">
        <v>6</v>
      </c>
      <c r="Z508" s="4">
        <v>81006</v>
      </c>
      <c r="AA508" s="4"/>
    </row>
    <row r="509" spans="4:27" ht="15">
      <c r="D509" s="28"/>
      <c r="E509" s="28"/>
      <c r="F509" s="28"/>
      <c r="H509" s="17"/>
      <c r="I509" s="17"/>
      <c r="J509" s="17"/>
      <c r="K509" s="17"/>
      <c r="L509" s="17"/>
      <c r="M509" s="17"/>
      <c r="Y509" s="4" t="s">
        <v>6</v>
      </c>
      <c r="Z509" s="4">
        <v>81006</v>
      </c>
      <c r="AA509" s="4"/>
    </row>
    <row r="510" spans="4:27" ht="15">
      <c r="D510" s="28"/>
      <c r="E510" s="28"/>
      <c r="F510" s="28"/>
      <c r="H510" s="17"/>
      <c r="I510" s="17"/>
      <c r="J510" s="17"/>
      <c r="K510" s="17"/>
      <c r="L510" s="17"/>
      <c r="M510" s="17"/>
      <c r="Y510" s="4" t="s">
        <v>6</v>
      </c>
      <c r="Z510" s="4">
        <v>81006</v>
      </c>
      <c r="AA510" s="4"/>
    </row>
    <row r="511" spans="4:27" ht="15">
      <c r="D511" s="28"/>
      <c r="E511" s="28"/>
      <c r="F511" s="28"/>
      <c r="H511" s="17"/>
      <c r="I511" s="17"/>
      <c r="J511" s="17"/>
      <c r="K511" s="17"/>
      <c r="L511" s="17"/>
      <c r="M511" s="17"/>
      <c r="Y511" s="4" t="s">
        <v>6</v>
      </c>
      <c r="Z511" s="4">
        <v>81006</v>
      </c>
      <c r="AA511" s="4"/>
    </row>
    <row r="512" spans="4:27" ht="15">
      <c r="D512" s="28"/>
      <c r="E512" s="28"/>
      <c r="F512" s="28"/>
      <c r="H512" s="17"/>
      <c r="I512" s="17"/>
      <c r="J512" s="17"/>
      <c r="K512" s="17"/>
      <c r="L512" s="17"/>
      <c r="M512" s="17"/>
      <c r="Y512" s="4" t="s">
        <v>6</v>
      </c>
      <c r="Z512" s="4">
        <v>81006</v>
      </c>
      <c r="AA512" s="4"/>
    </row>
    <row r="513" spans="4:27" ht="15">
      <c r="D513" s="28"/>
      <c r="E513" s="28"/>
      <c r="F513" s="28"/>
      <c r="H513" s="17"/>
      <c r="I513" s="17"/>
      <c r="J513" s="17"/>
      <c r="K513" s="17"/>
      <c r="L513" s="17"/>
      <c r="M513" s="17"/>
      <c r="Y513" s="4" t="s">
        <v>6</v>
      </c>
      <c r="Z513" s="4">
        <v>81006</v>
      </c>
      <c r="AA513" s="4"/>
    </row>
    <row r="514" spans="4:27" ht="15">
      <c r="D514" s="28"/>
      <c r="E514" s="28"/>
      <c r="F514" s="28"/>
      <c r="H514" s="17"/>
      <c r="I514" s="17"/>
      <c r="J514" s="17"/>
      <c r="K514" s="17"/>
      <c r="L514" s="17"/>
      <c r="M514" s="17"/>
      <c r="Y514" s="4" t="s">
        <v>6</v>
      </c>
      <c r="Z514" s="4">
        <v>81006</v>
      </c>
      <c r="AA514" s="4"/>
    </row>
    <row r="515" spans="4:27" ht="15">
      <c r="D515" s="28"/>
      <c r="E515" s="28"/>
      <c r="F515" s="28"/>
      <c r="H515" s="17"/>
      <c r="I515" s="17"/>
      <c r="J515" s="17"/>
      <c r="K515" s="17"/>
      <c r="L515" s="17"/>
      <c r="M515" s="17"/>
      <c r="Y515" s="4" t="s">
        <v>6</v>
      </c>
      <c r="Z515" s="4">
        <v>81006</v>
      </c>
      <c r="AA515" s="4"/>
    </row>
    <row r="516" spans="4:27" ht="15">
      <c r="D516" s="28"/>
      <c r="E516" s="28"/>
      <c r="F516" s="28"/>
      <c r="H516" s="17"/>
      <c r="I516" s="17"/>
      <c r="J516" s="17"/>
      <c r="K516" s="17"/>
      <c r="L516" s="17"/>
      <c r="M516" s="17"/>
      <c r="Y516" s="4" t="s">
        <v>6</v>
      </c>
      <c r="Z516" s="4">
        <v>86553</v>
      </c>
      <c r="AA516" s="4"/>
    </row>
    <row r="517" spans="4:27" ht="15">
      <c r="D517" s="28"/>
      <c r="E517" s="28"/>
      <c r="F517" s="28"/>
      <c r="H517" s="17"/>
      <c r="I517" s="17"/>
      <c r="J517" s="17"/>
      <c r="K517" s="17"/>
      <c r="L517" s="17"/>
      <c r="M517" s="17"/>
      <c r="Y517" s="4" t="s">
        <v>6</v>
      </c>
      <c r="Z517" s="4">
        <v>86553</v>
      </c>
      <c r="AA517" s="4"/>
    </row>
    <row r="518" spans="4:27" ht="15">
      <c r="D518" s="28"/>
      <c r="E518" s="28"/>
      <c r="F518" s="28"/>
      <c r="H518" s="17"/>
      <c r="I518" s="17"/>
      <c r="J518" s="17"/>
      <c r="K518" s="17"/>
      <c r="L518" s="17"/>
      <c r="M518" s="17"/>
      <c r="Y518" s="4" t="s">
        <v>6</v>
      </c>
      <c r="Z518" s="4">
        <v>86553</v>
      </c>
      <c r="AA518" s="4"/>
    </row>
    <row r="519" spans="4:27" ht="15">
      <c r="D519" s="28"/>
      <c r="E519" s="28"/>
      <c r="F519" s="28"/>
      <c r="H519" s="17"/>
      <c r="I519" s="17"/>
      <c r="J519" s="17"/>
      <c r="K519" s="17"/>
      <c r="L519" s="17"/>
      <c r="M519" s="17"/>
      <c r="Y519" s="4" t="s">
        <v>6</v>
      </c>
      <c r="Z519" s="4">
        <v>8807</v>
      </c>
      <c r="AA519" s="4"/>
    </row>
    <row r="520" spans="4:27" ht="15">
      <c r="D520" s="28"/>
      <c r="E520" s="28"/>
      <c r="F520" s="28"/>
      <c r="H520" s="17"/>
      <c r="I520" s="17"/>
      <c r="J520" s="17"/>
      <c r="K520" s="17"/>
      <c r="L520" s="17"/>
      <c r="M520" s="17"/>
      <c r="Y520" s="4" t="s">
        <v>6</v>
      </c>
      <c r="Z520" s="4">
        <v>91786</v>
      </c>
      <c r="AA520" s="4"/>
    </row>
    <row r="521" spans="4:27" ht="15">
      <c r="D521" s="28"/>
      <c r="E521" s="28"/>
      <c r="F521" s="28"/>
      <c r="H521" s="17"/>
      <c r="I521" s="17"/>
      <c r="J521" s="17"/>
      <c r="K521" s="17"/>
      <c r="L521" s="17"/>
      <c r="M521" s="17"/>
      <c r="Y521" s="4" t="s">
        <v>6</v>
      </c>
      <c r="Z521" s="4">
        <v>91786</v>
      </c>
      <c r="AA521" s="4"/>
    </row>
    <row r="522" spans="4:27" ht="15">
      <c r="D522" s="28"/>
      <c r="E522" s="28"/>
      <c r="F522" s="28"/>
      <c r="H522" s="17"/>
      <c r="I522" s="17"/>
      <c r="J522" s="17"/>
      <c r="K522" s="17"/>
      <c r="L522" s="17"/>
      <c r="M522" s="17"/>
      <c r="Y522" s="4" t="s">
        <v>6</v>
      </c>
      <c r="Z522" s="4">
        <v>91786</v>
      </c>
      <c r="AA522" s="4"/>
    </row>
    <row r="523" spans="4:27" ht="15">
      <c r="D523" s="28"/>
      <c r="E523" s="28"/>
      <c r="F523" s="28"/>
      <c r="H523" s="17"/>
      <c r="I523" s="17"/>
      <c r="J523" s="17"/>
      <c r="K523" s="17"/>
      <c r="L523" s="17"/>
      <c r="M523" s="17"/>
      <c r="Y523" s="4" t="s">
        <v>6</v>
      </c>
      <c r="Z523" s="4">
        <v>91786</v>
      </c>
      <c r="AA523" s="4"/>
    </row>
    <row r="524" spans="4:27" ht="15">
      <c r="D524" s="28"/>
      <c r="E524" s="28"/>
      <c r="F524" s="28"/>
      <c r="H524" s="17"/>
      <c r="I524" s="17"/>
      <c r="J524" s="17"/>
      <c r="K524" s="17"/>
      <c r="L524" s="17"/>
      <c r="M524" s="17"/>
      <c r="Y524" s="4" t="s">
        <v>6</v>
      </c>
      <c r="Z524" s="4">
        <v>91786</v>
      </c>
      <c r="AA524" s="4"/>
    </row>
    <row r="525" spans="4:27" ht="15">
      <c r="D525" s="28"/>
      <c r="E525" s="28"/>
      <c r="F525" s="28"/>
      <c r="H525" s="17"/>
      <c r="I525" s="17"/>
      <c r="J525" s="17"/>
      <c r="K525" s="17"/>
      <c r="L525" s="17"/>
      <c r="M525" s="17"/>
      <c r="Y525" s="4" t="s">
        <v>6</v>
      </c>
      <c r="Z525" s="4">
        <v>9257</v>
      </c>
      <c r="AA525" s="4"/>
    </row>
    <row r="526" spans="4:27" ht="15">
      <c r="D526" s="28"/>
      <c r="E526" s="28"/>
      <c r="F526" s="28"/>
      <c r="H526" s="17"/>
      <c r="I526" s="17"/>
      <c r="J526" s="17"/>
      <c r="K526" s="17"/>
      <c r="L526" s="17"/>
      <c r="M526" s="17"/>
      <c r="Y526" s="4" t="s">
        <v>6</v>
      </c>
      <c r="Z526" s="4">
        <v>9258</v>
      </c>
      <c r="AA526" s="4"/>
    </row>
    <row r="527" spans="4:27" ht="15">
      <c r="D527" s="28"/>
      <c r="E527" s="28"/>
      <c r="F527" s="28"/>
      <c r="H527" s="17"/>
      <c r="I527" s="17"/>
      <c r="J527" s="17"/>
      <c r="K527" s="17"/>
      <c r="L527" s="17"/>
      <c r="M527" s="17"/>
      <c r="Y527" s="4" t="s">
        <v>177</v>
      </c>
      <c r="Z527" s="4" t="s">
        <v>178</v>
      </c>
      <c r="AA527" s="4"/>
    </row>
    <row r="528" spans="4:27" ht="15">
      <c r="D528" s="28"/>
      <c r="E528" s="28"/>
      <c r="F528" s="28"/>
      <c r="H528" s="17"/>
      <c r="I528" s="17"/>
      <c r="J528" s="17"/>
      <c r="K528" s="17"/>
      <c r="L528" s="17"/>
      <c r="M528" s="17"/>
      <c r="Y528" s="4" t="s">
        <v>177</v>
      </c>
      <c r="Z528" s="4" t="s">
        <v>179</v>
      </c>
      <c r="AA528" s="4"/>
    </row>
    <row r="529" spans="4:27" ht="15">
      <c r="D529" s="28"/>
      <c r="E529" s="28"/>
      <c r="F529" s="28"/>
      <c r="H529" s="17"/>
      <c r="I529" s="17"/>
      <c r="J529" s="17"/>
      <c r="K529" s="17"/>
      <c r="L529" s="17"/>
      <c r="M529" s="17"/>
      <c r="Y529" s="4" t="s">
        <v>177</v>
      </c>
      <c r="Z529" s="4" t="s">
        <v>179</v>
      </c>
      <c r="AA529" s="4"/>
    </row>
    <row r="530" spans="4:27" ht="15">
      <c r="D530" s="28"/>
      <c r="E530" s="28"/>
      <c r="F530" s="28"/>
      <c r="H530" s="17"/>
      <c r="I530" s="17"/>
      <c r="J530" s="17"/>
      <c r="K530" s="17"/>
      <c r="L530" s="17"/>
      <c r="M530" s="17"/>
      <c r="Y530" s="4" t="s">
        <v>177</v>
      </c>
      <c r="Z530" s="4" t="s">
        <v>179</v>
      </c>
      <c r="AA530" s="4"/>
    </row>
    <row r="531" spans="4:27" ht="15">
      <c r="D531" s="28"/>
      <c r="E531" s="28"/>
      <c r="F531" s="28"/>
      <c r="H531" s="17"/>
      <c r="I531" s="17"/>
      <c r="J531" s="17"/>
      <c r="K531" s="17"/>
      <c r="L531" s="17"/>
      <c r="M531" s="17"/>
      <c r="Y531" s="4" t="s">
        <v>177</v>
      </c>
      <c r="Z531" s="4" t="s">
        <v>180</v>
      </c>
      <c r="AA531" s="4"/>
    </row>
    <row r="532" spans="4:27" ht="15">
      <c r="D532" s="28"/>
      <c r="E532" s="28"/>
      <c r="F532" s="28"/>
      <c r="H532" s="17"/>
      <c r="I532" s="17"/>
      <c r="J532" s="17"/>
      <c r="K532" s="17"/>
      <c r="L532" s="17"/>
      <c r="M532" s="17"/>
      <c r="Y532" s="4" t="s">
        <v>177</v>
      </c>
      <c r="Z532" s="4" t="s">
        <v>180</v>
      </c>
      <c r="AA532" s="4"/>
    </row>
    <row r="533" spans="4:27" ht="15">
      <c r="D533" s="28"/>
      <c r="E533" s="28"/>
      <c r="F533" s="28"/>
      <c r="H533" s="17"/>
      <c r="I533" s="17"/>
      <c r="J533" s="17"/>
      <c r="K533" s="17"/>
      <c r="L533" s="17"/>
      <c r="M533" s="17"/>
      <c r="Y533" s="4" t="s">
        <v>177</v>
      </c>
      <c r="Z533" s="4" t="s">
        <v>180</v>
      </c>
      <c r="AA533" s="4"/>
    </row>
    <row r="534" spans="4:27" ht="15">
      <c r="D534" s="28"/>
      <c r="E534" s="28"/>
      <c r="F534" s="28"/>
      <c r="H534" s="17"/>
      <c r="I534" s="17"/>
      <c r="J534" s="17"/>
      <c r="K534" s="17"/>
      <c r="L534" s="17"/>
      <c r="M534" s="17"/>
      <c r="Y534" s="4" t="s">
        <v>177</v>
      </c>
      <c r="Z534" s="4" t="s">
        <v>181</v>
      </c>
      <c r="AA534" s="4"/>
    </row>
    <row r="535" spans="4:27" ht="15">
      <c r="D535" s="28"/>
      <c r="E535" s="28"/>
      <c r="F535" s="28"/>
      <c r="H535" s="17"/>
      <c r="I535" s="17"/>
      <c r="J535" s="17"/>
      <c r="K535" s="17"/>
      <c r="L535" s="17"/>
      <c r="M535" s="17"/>
      <c r="Y535" s="4" t="s">
        <v>177</v>
      </c>
      <c r="Z535" s="4" t="s">
        <v>181</v>
      </c>
      <c r="AA535" s="4"/>
    </row>
    <row r="536" spans="4:27" ht="15">
      <c r="D536" s="28"/>
      <c r="E536" s="28"/>
      <c r="F536" s="28"/>
      <c r="H536" s="17"/>
      <c r="I536" s="17"/>
      <c r="J536" s="17"/>
      <c r="K536" s="17"/>
      <c r="L536" s="17"/>
      <c r="M536" s="17"/>
      <c r="Y536" s="4" t="s">
        <v>177</v>
      </c>
      <c r="Z536" s="4" t="s">
        <v>181</v>
      </c>
      <c r="AA536" s="4"/>
    </row>
    <row r="537" spans="4:27" ht="15">
      <c r="D537" s="28"/>
      <c r="E537" s="28"/>
      <c r="F537" s="28"/>
      <c r="H537" s="17"/>
      <c r="I537" s="17"/>
      <c r="J537" s="17"/>
      <c r="K537" s="17"/>
      <c r="L537" s="17"/>
      <c r="M537" s="17"/>
      <c r="Y537" s="4" t="s">
        <v>177</v>
      </c>
      <c r="Z537" s="4" t="s">
        <v>181</v>
      </c>
      <c r="AA537" s="4"/>
    </row>
    <row r="538" spans="4:27" ht="15">
      <c r="D538" s="28"/>
      <c r="E538" s="28"/>
      <c r="F538" s="28"/>
      <c r="H538" s="17"/>
      <c r="I538" s="17"/>
      <c r="J538" s="17"/>
      <c r="K538" s="17"/>
      <c r="L538" s="17"/>
      <c r="M538" s="17"/>
      <c r="Y538" s="4" t="s">
        <v>177</v>
      </c>
      <c r="Z538" s="4" t="s">
        <v>182</v>
      </c>
      <c r="AA538" s="4"/>
    </row>
    <row r="539" spans="4:27" ht="15">
      <c r="D539" s="28"/>
      <c r="E539" s="28"/>
      <c r="F539" s="28"/>
      <c r="H539" s="17"/>
      <c r="I539" s="17"/>
      <c r="J539" s="17"/>
      <c r="K539" s="17"/>
      <c r="L539" s="17"/>
      <c r="M539" s="17"/>
      <c r="Y539" s="4" t="s">
        <v>177</v>
      </c>
      <c r="Z539" s="4" t="s">
        <v>182</v>
      </c>
      <c r="AA539" s="4"/>
    </row>
    <row r="540" spans="4:27" ht="15">
      <c r="D540" s="28"/>
      <c r="E540" s="28"/>
      <c r="F540" s="28"/>
      <c r="H540" s="17"/>
      <c r="I540" s="17"/>
      <c r="J540" s="17"/>
      <c r="K540" s="17"/>
      <c r="L540" s="17"/>
      <c r="M540" s="17"/>
      <c r="Y540" s="4" t="s">
        <v>177</v>
      </c>
      <c r="Z540" s="4" t="s">
        <v>182</v>
      </c>
      <c r="AA540" s="4"/>
    </row>
    <row r="541" spans="4:27" ht="15">
      <c r="D541" s="28"/>
      <c r="E541" s="28"/>
      <c r="F541" s="28"/>
      <c r="H541" s="17"/>
      <c r="I541" s="17"/>
      <c r="J541" s="17"/>
      <c r="K541" s="17"/>
      <c r="L541" s="17"/>
      <c r="M541" s="17"/>
      <c r="Y541" s="4" t="s">
        <v>177</v>
      </c>
      <c r="Z541" s="4" t="s">
        <v>183</v>
      </c>
      <c r="AA541" s="4"/>
    </row>
    <row r="542" spans="4:27" ht="15">
      <c r="D542" s="28"/>
      <c r="E542" s="28"/>
      <c r="F542" s="28"/>
      <c r="H542" s="17"/>
      <c r="I542" s="17"/>
      <c r="J542" s="17"/>
      <c r="K542" s="17"/>
      <c r="L542" s="17"/>
      <c r="M542" s="17"/>
      <c r="Y542" s="4" t="s">
        <v>177</v>
      </c>
      <c r="Z542" s="4" t="s">
        <v>183</v>
      </c>
      <c r="AA542" s="4"/>
    </row>
    <row r="543" spans="4:27" ht="15">
      <c r="D543" s="28"/>
      <c r="E543" s="28"/>
      <c r="F543" s="28"/>
      <c r="H543" s="17"/>
      <c r="I543" s="17"/>
      <c r="J543" s="17"/>
      <c r="K543" s="17"/>
      <c r="L543" s="17"/>
      <c r="M543" s="17"/>
      <c r="Y543" s="4" t="s">
        <v>177</v>
      </c>
      <c r="Z543" s="4" t="s">
        <v>184</v>
      </c>
      <c r="AA543" s="4"/>
    </row>
    <row r="544" spans="4:27" ht="15">
      <c r="D544" s="28"/>
      <c r="E544" s="28"/>
      <c r="F544" s="28"/>
      <c r="H544" s="17"/>
      <c r="I544" s="17"/>
      <c r="J544" s="17"/>
      <c r="K544" s="17"/>
      <c r="L544" s="17"/>
      <c r="M544" s="17"/>
      <c r="Y544" s="4" t="s">
        <v>177</v>
      </c>
      <c r="Z544" s="4" t="s">
        <v>184</v>
      </c>
      <c r="AA544" s="4"/>
    </row>
    <row r="545" spans="4:27" ht="15">
      <c r="D545" s="28"/>
      <c r="E545" s="28"/>
      <c r="F545" s="28"/>
      <c r="H545" s="17"/>
      <c r="I545" s="17"/>
      <c r="J545" s="17"/>
      <c r="K545" s="17"/>
      <c r="L545" s="17"/>
      <c r="M545" s="17"/>
      <c r="Y545" s="4" t="s">
        <v>177</v>
      </c>
      <c r="Z545" s="4" t="s">
        <v>184</v>
      </c>
      <c r="AA545" s="4"/>
    </row>
    <row r="546" spans="4:27" ht="15">
      <c r="D546" s="28"/>
      <c r="E546" s="28"/>
      <c r="F546" s="28"/>
      <c r="H546" s="17"/>
      <c r="I546" s="17"/>
      <c r="J546" s="17"/>
      <c r="K546" s="17"/>
      <c r="L546" s="17"/>
      <c r="M546" s="17"/>
      <c r="Y546" s="4" t="s">
        <v>177</v>
      </c>
      <c r="Z546" s="4" t="s">
        <v>185</v>
      </c>
      <c r="AA546" s="4"/>
    </row>
    <row r="547" spans="4:27" ht="15">
      <c r="D547" s="28"/>
      <c r="E547" s="28"/>
      <c r="F547" s="28"/>
      <c r="H547" s="17"/>
      <c r="I547" s="17"/>
      <c r="J547" s="17"/>
      <c r="K547" s="17"/>
      <c r="L547" s="17"/>
      <c r="M547" s="17"/>
      <c r="Y547" s="4" t="s">
        <v>177</v>
      </c>
      <c r="Z547" s="4" t="s">
        <v>186</v>
      </c>
      <c r="AA547" s="4"/>
    </row>
    <row r="548" spans="4:27" ht="15">
      <c r="D548" s="28"/>
      <c r="E548" s="28"/>
      <c r="F548" s="28"/>
      <c r="H548" s="17"/>
      <c r="I548" s="17"/>
      <c r="J548" s="17"/>
      <c r="K548" s="17"/>
      <c r="L548" s="17"/>
      <c r="M548" s="17"/>
      <c r="Y548" s="4" t="s">
        <v>177</v>
      </c>
      <c r="Z548" s="4" t="s">
        <v>186</v>
      </c>
      <c r="AA548" s="4"/>
    </row>
    <row r="549" spans="4:27" ht="15">
      <c r="D549" s="28"/>
      <c r="E549" s="28"/>
      <c r="F549" s="28"/>
      <c r="H549" s="17"/>
      <c r="I549" s="17"/>
      <c r="J549" s="17"/>
      <c r="K549" s="17"/>
      <c r="L549" s="17"/>
      <c r="M549" s="17"/>
      <c r="Y549" s="4" t="s">
        <v>177</v>
      </c>
      <c r="Z549" s="4" t="s">
        <v>186</v>
      </c>
      <c r="AA549" s="4"/>
    </row>
    <row r="550" spans="4:27" ht="15">
      <c r="D550" s="28"/>
      <c r="E550" s="28"/>
      <c r="F550" s="28"/>
      <c r="H550" s="17"/>
      <c r="I550" s="17"/>
      <c r="J550" s="17"/>
      <c r="K550" s="17"/>
      <c r="L550" s="17"/>
      <c r="M550" s="17"/>
      <c r="Y550" s="4" t="s">
        <v>177</v>
      </c>
      <c r="Z550" s="4" t="s">
        <v>186</v>
      </c>
      <c r="AA550" s="4"/>
    </row>
    <row r="551" spans="4:27" ht="15">
      <c r="D551" s="28"/>
      <c r="E551" s="28"/>
      <c r="F551" s="28"/>
      <c r="H551" s="17"/>
      <c r="I551" s="17"/>
      <c r="J551" s="17"/>
      <c r="K551" s="17"/>
      <c r="L551" s="17"/>
      <c r="M551" s="17"/>
      <c r="Y551" s="4" t="s">
        <v>177</v>
      </c>
      <c r="Z551" s="4" t="s">
        <v>186</v>
      </c>
      <c r="AA551" s="4"/>
    </row>
    <row r="552" spans="4:27" ht="15">
      <c r="D552" s="28"/>
      <c r="E552" s="28"/>
      <c r="F552" s="28"/>
      <c r="H552" s="17"/>
      <c r="I552" s="17"/>
      <c r="J552" s="17"/>
      <c r="K552" s="17"/>
      <c r="L552" s="17"/>
      <c r="M552" s="17"/>
      <c r="Y552" s="4" t="s">
        <v>177</v>
      </c>
      <c r="Z552" s="4" t="s">
        <v>186</v>
      </c>
      <c r="AA552" s="4"/>
    </row>
    <row r="553" spans="4:27" ht="15">
      <c r="D553" s="28"/>
      <c r="E553" s="28"/>
      <c r="F553" s="28"/>
      <c r="H553" s="17"/>
      <c r="I553" s="17"/>
      <c r="J553" s="17"/>
      <c r="K553" s="17"/>
      <c r="L553" s="17"/>
      <c r="M553" s="17"/>
      <c r="Y553" s="4" t="s">
        <v>177</v>
      </c>
      <c r="Z553" s="4" t="s">
        <v>186</v>
      </c>
      <c r="AA553" s="4"/>
    </row>
    <row r="554" spans="4:27" ht="15">
      <c r="D554" s="28"/>
      <c r="E554" s="28"/>
      <c r="F554" s="28"/>
      <c r="H554" s="17"/>
      <c r="I554" s="17"/>
      <c r="J554" s="17"/>
      <c r="K554" s="17"/>
      <c r="L554" s="17"/>
      <c r="M554" s="17"/>
      <c r="Y554" s="4" t="s">
        <v>177</v>
      </c>
      <c r="Z554" s="4" t="s">
        <v>186</v>
      </c>
      <c r="AA554" s="4"/>
    </row>
    <row r="555" spans="4:27" ht="15">
      <c r="D555" s="28"/>
      <c r="E555" s="28"/>
      <c r="F555" s="28"/>
      <c r="H555" s="17"/>
      <c r="I555" s="17"/>
      <c r="J555" s="17"/>
      <c r="K555" s="17"/>
      <c r="L555" s="17"/>
      <c r="M555" s="17"/>
      <c r="Y555" s="4" t="s">
        <v>177</v>
      </c>
      <c r="Z555" s="4" t="s">
        <v>186</v>
      </c>
      <c r="AA555" s="4"/>
    </row>
    <row r="556" spans="4:27" ht="15">
      <c r="D556" s="28"/>
      <c r="E556" s="28"/>
      <c r="F556" s="28"/>
      <c r="H556" s="17"/>
      <c r="I556" s="17"/>
      <c r="J556" s="17"/>
      <c r="K556" s="17"/>
      <c r="L556" s="17"/>
      <c r="M556" s="17"/>
      <c r="Y556" s="4" t="s">
        <v>177</v>
      </c>
      <c r="Z556" s="4" t="s">
        <v>186</v>
      </c>
      <c r="AA556" s="4"/>
    </row>
    <row r="557" spans="4:27" ht="15">
      <c r="D557" s="28"/>
      <c r="E557" s="28"/>
      <c r="F557" s="28"/>
      <c r="H557" s="17"/>
      <c r="I557" s="17"/>
      <c r="J557" s="17"/>
      <c r="K557" s="17"/>
      <c r="L557" s="17"/>
      <c r="M557" s="17"/>
      <c r="Y557" s="4" t="s">
        <v>177</v>
      </c>
      <c r="Z557" s="4" t="s">
        <v>186</v>
      </c>
      <c r="AA557" s="4"/>
    </row>
    <row r="558" spans="4:27" ht="15">
      <c r="D558" s="28"/>
      <c r="E558" s="28"/>
      <c r="F558" s="28"/>
      <c r="H558" s="17"/>
      <c r="I558" s="17"/>
      <c r="J558" s="17"/>
      <c r="K558" s="17"/>
      <c r="L558" s="17"/>
      <c r="M558" s="17"/>
      <c r="Y558" s="4" t="s">
        <v>177</v>
      </c>
      <c r="Z558" s="4" t="s">
        <v>186</v>
      </c>
      <c r="AA558" s="4"/>
    </row>
    <row r="559" spans="4:27" ht="15">
      <c r="D559" s="28"/>
      <c r="E559" s="28"/>
      <c r="F559" s="28"/>
      <c r="H559" s="17"/>
      <c r="I559" s="17"/>
      <c r="J559" s="17"/>
      <c r="K559" s="17"/>
      <c r="L559" s="17"/>
      <c r="M559" s="17"/>
      <c r="Y559" s="4" t="s">
        <v>177</v>
      </c>
      <c r="Z559" s="4" t="s">
        <v>186</v>
      </c>
      <c r="AA559" s="4"/>
    </row>
    <row r="560" spans="4:27" ht="15">
      <c r="D560" s="28"/>
      <c r="E560" s="28"/>
      <c r="F560" s="28"/>
      <c r="H560" s="17"/>
      <c r="I560" s="17"/>
      <c r="J560" s="17"/>
      <c r="K560" s="17"/>
      <c r="L560" s="17"/>
      <c r="M560" s="17"/>
      <c r="Y560" s="4" t="s">
        <v>177</v>
      </c>
      <c r="Z560" s="4" t="s">
        <v>187</v>
      </c>
      <c r="AA560" s="4"/>
    </row>
    <row r="561" spans="4:27" ht="15">
      <c r="D561" s="28"/>
      <c r="E561" s="28"/>
      <c r="F561" s="28"/>
      <c r="H561" s="17"/>
      <c r="I561" s="17"/>
      <c r="J561" s="17"/>
      <c r="K561" s="17"/>
      <c r="L561" s="17"/>
      <c r="M561" s="17"/>
      <c r="Y561" s="4" t="s">
        <v>177</v>
      </c>
      <c r="Z561" s="4" t="s">
        <v>187</v>
      </c>
      <c r="AA561" s="4"/>
    </row>
    <row r="562" spans="4:27" ht="15">
      <c r="D562" s="28"/>
      <c r="E562" s="28"/>
      <c r="F562" s="28"/>
      <c r="H562" s="17"/>
      <c r="I562" s="17"/>
      <c r="J562" s="17"/>
      <c r="K562" s="17"/>
      <c r="L562" s="17"/>
      <c r="M562" s="17"/>
      <c r="Y562" s="4" t="s">
        <v>177</v>
      </c>
      <c r="Z562" s="4" t="s">
        <v>187</v>
      </c>
      <c r="AA562" s="4"/>
    </row>
    <row r="563" spans="4:27" ht="15">
      <c r="D563" s="28"/>
      <c r="E563" s="28"/>
      <c r="F563" s="28"/>
      <c r="H563" s="17"/>
      <c r="I563" s="17"/>
      <c r="J563" s="17"/>
      <c r="K563" s="17"/>
      <c r="L563" s="17"/>
      <c r="M563" s="17"/>
      <c r="Y563" s="4" t="s">
        <v>177</v>
      </c>
      <c r="Z563" s="4" t="s">
        <v>187</v>
      </c>
      <c r="AA563" s="4"/>
    </row>
    <row r="564" spans="4:27" ht="15">
      <c r="D564" s="28"/>
      <c r="E564" s="28"/>
      <c r="F564" s="28"/>
      <c r="H564" s="17"/>
      <c r="I564" s="17"/>
      <c r="J564" s="17"/>
      <c r="K564" s="17"/>
      <c r="L564" s="17"/>
      <c r="M564" s="17"/>
      <c r="Y564" s="4" t="s">
        <v>177</v>
      </c>
      <c r="Z564" s="4" t="s">
        <v>187</v>
      </c>
      <c r="AA564" s="4"/>
    </row>
    <row r="565" spans="4:27" ht="15">
      <c r="D565" s="28"/>
      <c r="E565" s="28"/>
      <c r="F565" s="28"/>
      <c r="H565" s="17"/>
      <c r="I565" s="17"/>
      <c r="J565" s="17"/>
      <c r="K565" s="17"/>
      <c r="L565" s="17"/>
      <c r="M565" s="17"/>
      <c r="Y565" s="4" t="s">
        <v>177</v>
      </c>
      <c r="Z565" s="4" t="s">
        <v>188</v>
      </c>
      <c r="AA565" s="4"/>
    </row>
    <row r="566" spans="4:27" ht="15">
      <c r="D566" s="28"/>
      <c r="E566" s="28"/>
      <c r="F566" s="28"/>
      <c r="H566" s="17"/>
      <c r="I566" s="17"/>
      <c r="J566" s="17"/>
      <c r="K566" s="17"/>
      <c r="L566" s="17"/>
      <c r="M566" s="17"/>
      <c r="Y566" s="4" t="s">
        <v>177</v>
      </c>
      <c r="Z566" s="4" t="s">
        <v>188</v>
      </c>
      <c r="AA566" s="4"/>
    </row>
    <row r="567" spans="4:27" ht="15">
      <c r="D567" s="28"/>
      <c r="E567" s="28"/>
      <c r="F567" s="28"/>
      <c r="H567" s="17"/>
      <c r="I567" s="17"/>
      <c r="J567" s="17"/>
      <c r="K567" s="17"/>
      <c r="L567" s="17"/>
      <c r="M567" s="17"/>
      <c r="Y567" s="4" t="s">
        <v>177</v>
      </c>
      <c r="Z567" s="4" t="s">
        <v>188</v>
      </c>
      <c r="AA567" s="4"/>
    </row>
    <row r="568" spans="4:27" ht="15">
      <c r="D568" s="28"/>
      <c r="E568" s="28"/>
      <c r="F568" s="28"/>
      <c r="H568" s="17"/>
      <c r="I568" s="17"/>
      <c r="J568" s="17"/>
      <c r="K568" s="17"/>
      <c r="L568" s="17"/>
      <c r="M568" s="17"/>
      <c r="Y568" s="4" t="s">
        <v>177</v>
      </c>
      <c r="Z568" s="4" t="s">
        <v>188</v>
      </c>
      <c r="AA568" s="4"/>
    </row>
    <row r="569" spans="4:27" ht="15">
      <c r="D569" s="28"/>
      <c r="E569" s="28"/>
      <c r="F569" s="28"/>
      <c r="H569" s="17"/>
      <c r="I569" s="17"/>
      <c r="J569" s="17"/>
      <c r="K569" s="17"/>
      <c r="L569" s="17"/>
      <c r="M569" s="17"/>
      <c r="Y569" s="4" t="s">
        <v>177</v>
      </c>
      <c r="Z569" s="4" t="s">
        <v>188</v>
      </c>
      <c r="AA569" s="4"/>
    </row>
    <row r="570" spans="4:27" ht="15">
      <c r="D570" s="28"/>
      <c r="E570" s="28"/>
      <c r="F570" s="28"/>
      <c r="H570" s="17"/>
      <c r="I570" s="17"/>
      <c r="J570" s="17"/>
      <c r="K570" s="17"/>
      <c r="L570" s="17"/>
      <c r="M570" s="17"/>
      <c r="Y570" s="4" t="s">
        <v>177</v>
      </c>
      <c r="Z570" s="4" t="s">
        <v>188</v>
      </c>
      <c r="AA570" s="4"/>
    </row>
    <row r="571" spans="4:27" ht="15">
      <c r="D571" s="28"/>
      <c r="E571" s="28"/>
      <c r="F571" s="28"/>
      <c r="H571" s="17"/>
      <c r="I571" s="17"/>
      <c r="J571" s="17"/>
      <c r="K571" s="17"/>
      <c r="L571" s="17"/>
      <c r="M571" s="17"/>
      <c r="Y571" s="4" t="s">
        <v>177</v>
      </c>
      <c r="Z571" s="4" t="s">
        <v>188</v>
      </c>
      <c r="AA571" s="4"/>
    </row>
    <row r="572" spans="4:27" ht="15">
      <c r="D572" s="28"/>
      <c r="E572" s="28"/>
      <c r="F572" s="28"/>
      <c r="H572" s="17"/>
      <c r="I572" s="17"/>
      <c r="J572" s="17"/>
      <c r="K572" s="17"/>
      <c r="L572" s="17"/>
      <c r="M572" s="17"/>
      <c r="Y572" s="4" t="s">
        <v>177</v>
      </c>
      <c r="Z572" s="4" t="s">
        <v>189</v>
      </c>
      <c r="AA572" s="4"/>
    </row>
    <row r="573" spans="4:27" ht="15">
      <c r="D573" s="28"/>
      <c r="E573" s="28"/>
      <c r="F573" s="28"/>
      <c r="H573" s="17"/>
      <c r="I573" s="17"/>
      <c r="J573" s="17"/>
      <c r="K573" s="17"/>
      <c r="L573" s="17"/>
      <c r="M573" s="17"/>
      <c r="Y573" s="4" t="s">
        <v>177</v>
      </c>
      <c r="Z573" s="4" t="s">
        <v>189</v>
      </c>
      <c r="AA573" s="4"/>
    </row>
    <row r="574" spans="4:27" ht="15">
      <c r="D574" s="28"/>
      <c r="E574" s="28"/>
      <c r="F574" s="28"/>
      <c r="H574" s="17"/>
      <c r="I574" s="17"/>
      <c r="J574" s="17"/>
      <c r="K574" s="17"/>
      <c r="L574" s="17"/>
      <c r="M574" s="17"/>
      <c r="Y574" s="4" t="s">
        <v>177</v>
      </c>
      <c r="Z574" s="4" t="s">
        <v>189</v>
      </c>
      <c r="AA574" s="4"/>
    </row>
    <row r="575" spans="4:27" ht="15">
      <c r="D575" s="28"/>
      <c r="E575" s="28"/>
      <c r="F575" s="28"/>
      <c r="H575" s="17"/>
      <c r="I575" s="17"/>
      <c r="J575" s="17"/>
      <c r="K575" s="17"/>
      <c r="L575" s="17"/>
      <c r="M575" s="17"/>
      <c r="Y575" s="4" t="s">
        <v>177</v>
      </c>
      <c r="Z575" s="4" t="s">
        <v>190</v>
      </c>
      <c r="AA575" s="4"/>
    </row>
    <row r="576" spans="4:27" ht="15">
      <c r="D576" s="28"/>
      <c r="E576" s="28"/>
      <c r="F576" s="28"/>
      <c r="H576" s="17"/>
      <c r="I576" s="17"/>
      <c r="J576" s="17"/>
      <c r="K576" s="17"/>
      <c r="L576" s="17"/>
      <c r="M576" s="17"/>
      <c r="Y576" s="4" t="s">
        <v>177</v>
      </c>
      <c r="Z576" s="4" t="s">
        <v>190</v>
      </c>
      <c r="AA576" s="4"/>
    </row>
    <row r="577" spans="4:27" ht="15">
      <c r="D577" s="28"/>
      <c r="E577" s="28"/>
      <c r="F577" s="28"/>
      <c r="H577" s="17"/>
      <c r="I577" s="17"/>
      <c r="J577" s="17"/>
      <c r="K577" s="17"/>
      <c r="L577" s="17"/>
      <c r="M577" s="17"/>
      <c r="Y577" s="4" t="s">
        <v>177</v>
      </c>
      <c r="Z577" s="4" t="s">
        <v>190</v>
      </c>
      <c r="AA577" s="4"/>
    </row>
    <row r="578" spans="4:27" ht="15">
      <c r="D578" s="28"/>
      <c r="E578" s="28"/>
      <c r="F578" s="28"/>
      <c r="H578" s="17"/>
      <c r="I578" s="17"/>
      <c r="J578" s="17"/>
      <c r="K578" s="17"/>
      <c r="L578" s="17"/>
      <c r="M578" s="17"/>
      <c r="Y578" s="4" t="s">
        <v>177</v>
      </c>
      <c r="Z578" s="4" t="s">
        <v>190</v>
      </c>
      <c r="AA578" s="4"/>
    </row>
    <row r="579" spans="4:27" ht="15">
      <c r="D579" s="28"/>
      <c r="E579" s="28"/>
      <c r="F579" s="28"/>
      <c r="H579" s="17"/>
      <c r="I579" s="17"/>
      <c r="J579" s="17"/>
      <c r="K579" s="17"/>
      <c r="L579" s="17"/>
      <c r="M579" s="17"/>
      <c r="Y579" s="4" t="s">
        <v>177</v>
      </c>
      <c r="Z579" s="4" t="s">
        <v>190</v>
      </c>
      <c r="AA579" s="4"/>
    </row>
    <row r="580" spans="4:27" ht="15">
      <c r="D580" s="28"/>
      <c r="E580" s="28"/>
      <c r="F580" s="28"/>
      <c r="H580" s="17"/>
      <c r="I580" s="17"/>
      <c r="J580" s="17"/>
      <c r="K580" s="17"/>
      <c r="L580" s="17"/>
      <c r="M580" s="17"/>
      <c r="Y580" s="4" t="s">
        <v>177</v>
      </c>
      <c r="Z580" s="4" t="s">
        <v>191</v>
      </c>
      <c r="AA580" s="4"/>
    </row>
    <row r="581" spans="4:27" ht="15">
      <c r="D581" s="28"/>
      <c r="E581" s="28"/>
      <c r="F581" s="28"/>
      <c r="H581" s="17"/>
      <c r="I581" s="17"/>
      <c r="J581" s="17"/>
      <c r="K581" s="17"/>
      <c r="L581" s="17"/>
      <c r="M581" s="17"/>
      <c r="Y581" s="4" t="s">
        <v>177</v>
      </c>
      <c r="Z581" s="4" t="s">
        <v>191</v>
      </c>
      <c r="AA581" s="4"/>
    </row>
    <row r="582" spans="4:27" ht="15">
      <c r="D582" s="28"/>
      <c r="E582" s="28"/>
      <c r="F582" s="28"/>
      <c r="H582" s="17"/>
      <c r="I582" s="17"/>
      <c r="J582" s="17"/>
      <c r="K582" s="17"/>
      <c r="L582" s="17"/>
      <c r="M582" s="17"/>
      <c r="Y582" s="4" t="s">
        <v>177</v>
      </c>
      <c r="Z582" s="4" t="s">
        <v>192</v>
      </c>
      <c r="AA582" s="4"/>
    </row>
    <row r="583" spans="4:27" ht="15">
      <c r="D583" s="28"/>
      <c r="E583" s="28"/>
      <c r="F583" s="28"/>
      <c r="H583" s="17"/>
      <c r="I583" s="17"/>
      <c r="J583" s="17"/>
      <c r="K583" s="17"/>
      <c r="L583" s="17"/>
      <c r="M583" s="17"/>
      <c r="Y583" s="4" t="s">
        <v>177</v>
      </c>
      <c r="Z583" s="4" t="s">
        <v>193</v>
      </c>
      <c r="AA583" s="4"/>
    </row>
    <row r="584" spans="4:27" ht="15">
      <c r="D584" s="28"/>
      <c r="E584" s="28"/>
      <c r="F584" s="28"/>
      <c r="H584" s="17"/>
      <c r="I584" s="17"/>
      <c r="J584" s="17"/>
      <c r="K584" s="17"/>
      <c r="L584" s="17"/>
      <c r="M584" s="17"/>
      <c r="Y584" s="4" t="s">
        <v>177</v>
      </c>
      <c r="Z584" s="4" t="s">
        <v>194</v>
      </c>
      <c r="AA584" s="4"/>
    </row>
    <row r="585" spans="4:27" ht="15">
      <c r="D585" s="28"/>
      <c r="E585" s="28"/>
      <c r="F585" s="28"/>
      <c r="H585" s="17"/>
      <c r="I585" s="17"/>
      <c r="J585" s="17"/>
      <c r="K585" s="17"/>
      <c r="L585" s="17"/>
      <c r="M585" s="17"/>
      <c r="Y585" s="4" t="s">
        <v>177</v>
      </c>
      <c r="Z585" s="4" t="s">
        <v>194</v>
      </c>
      <c r="AA585" s="4"/>
    </row>
    <row r="586" spans="4:27" ht="15">
      <c r="D586" s="28"/>
      <c r="E586" s="28"/>
      <c r="F586" s="28"/>
      <c r="H586" s="17"/>
      <c r="I586" s="17"/>
      <c r="J586" s="17"/>
      <c r="K586" s="17"/>
      <c r="L586" s="17"/>
      <c r="M586" s="17"/>
      <c r="Y586" s="4" t="s">
        <v>177</v>
      </c>
      <c r="Z586" s="4" t="s">
        <v>195</v>
      </c>
      <c r="AA586" s="4"/>
    </row>
    <row r="587" spans="4:27" ht="15">
      <c r="D587" s="28"/>
      <c r="E587" s="28"/>
      <c r="F587" s="28"/>
      <c r="H587" s="17"/>
      <c r="I587" s="17"/>
      <c r="J587" s="17"/>
      <c r="K587" s="17"/>
      <c r="L587" s="17"/>
      <c r="M587" s="17"/>
      <c r="Y587" s="4" t="s">
        <v>177</v>
      </c>
      <c r="Z587" s="4" t="s">
        <v>195</v>
      </c>
      <c r="AA587" s="4"/>
    </row>
    <row r="588" spans="4:27" ht="15">
      <c r="D588" s="28"/>
      <c r="E588" s="28"/>
      <c r="F588" s="28"/>
      <c r="H588" s="17"/>
      <c r="I588" s="17"/>
      <c r="J588" s="17"/>
      <c r="K588" s="17"/>
      <c r="L588" s="17"/>
      <c r="M588" s="17"/>
      <c r="Y588" s="4" t="s">
        <v>177</v>
      </c>
      <c r="Z588" s="4" t="s">
        <v>196</v>
      </c>
      <c r="AA588" s="4"/>
    </row>
    <row r="589" spans="4:27" ht="15">
      <c r="D589" s="28"/>
      <c r="E589" s="28"/>
      <c r="F589" s="28"/>
      <c r="H589" s="17"/>
      <c r="I589" s="17"/>
      <c r="J589" s="17"/>
      <c r="K589" s="17"/>
      <c r="L589" s="17"/>
      <c r="M589" s="17"/>
      <c r="Y589" s="4" t="s">
        <v>177</v>
      </c>
      <c r="Z589" s="4" t="s">
        <v>196</v>
      </c>
      <c r="AA589" s="4"/>
    </row>
    <row r="590" spans="4:27" ht="15">
      <c r="D590" s="28"/>
      <c r="E590" s="28"/>
      <c r="F590" s="28"/>
      <c r="H590" s="17"/>
      <c r="I590" s="17"/>
      <c r="J590" s="17"/>
      <c r="K590" s="17"/>
      <c r="L590" s="17"/>
      <c r="M590" s="17"/>
      <c r="Y590" s="4" t="s">
        <v>177</v>
      </c>
      <c r="Z590" s="4" t="s">
        <v>196</v>
      </c>
      <c r="AA590" s="4"/>
    </row>
    <row r="591" spans="4:27" ht="15">
      <c r="D591" s="28"/>
      <c r="E591" s="28"/>
      <c r="F591" s="28"/>
      <c r="H591" s="17"/>
      <c r="I591" s="17"/>
      <c r="J591" s="17"/>
      <c r="K591" s="17"/>
      <c r="L591" s="17"/>
      <c r="M591" s="17"/>
      <c r="Y591" s="4" t="s">
        <v>177</v>
      </c>
      <c r="Z591" s="4" t="s">
        <v>196</v>
      </c>
      <c r="AA591" s="4"/>
    </row>
    <row r="592" spans="4:27" ht="15">
      <c r="D592" s="28"/>
      <c r="E592" s="28"/>
      <c r="F592" s="28"/>
      <c r="H592" s="17"/>
      <c r="I592" s="17"/>
      <c r="J592" s="17"/>
      <c r="K592" s="17"/>
      <c r="L592" s="17"/>
      <c r="M592" s="17"/>
      <c r="Y592" s="4" t="s">
        <v>177</v>
      </c>
      <c r="Z592" s="4" t="s">
        <v>197</v>
      </c>
      <c r="AA592" s="4"/>
    </row>
    <row r="593" spans="4:27" ht="15">
      <c r="D593" s="28"/>
      <c r="E593" s="28"/>
      <c r="F593" s="28"/>
      <c r="H593" s="17"/>
      <c r="I593" s="17"/>
      <c r="J593" s="17"/>
      <c r="K593" s="17"/>
      <c r="L593" s="17"/>
      <c r="M593" s="17"/>
      <c r="Y593" s="4" t="s">
        <v>177</v>
      </c>
      <c r="Z593" s="4" t="s">
        <v>197</v>
      </c>
      <c r="AA593" s="4"/>
    </row>
    <row r="594" spans="4:27" ht="15">
      <c r="D594" s="28"/>
      <c r="E594" s="28"/>
      <c r="F594" s="28"/>
      <c r="H594" s="17"/>
      <c r="I594" s="17"/>
      <c r="J594" s="17"/>
      <c r="K594" s="17"/>
      <c r="L594" s="17"/>
      <c r="M594" s="17"/>
      <c r="Y594" s="4" t="s">
        <v>177</v>
      </c>
      <c r="Z594" s="4" t="s">
        <v>198</v>
      </c>
      <c r="AA594" s="4"/>
    </row>
    <row r="595" spans="4:27" ht="15">
      <c r="D595" s="28"/>
      <c r="E595" s="28"/>
      <c r="F595" s="28"/>
      <c r="H595" s="17"/>
      <c r="I595" s="17"/>
      <c r="J595" s="17"/>
      <c r="K595" s="17"/>
      <c r="L595" s="17"/>
      <c r="M595" s="17"/>
      <c r="Y595" s="4" t="s">
        <v>177</v>
      </c>
      <c r="Z595" s="4" t="s">
        <v>198</v>
      </c>
      <c r="AA595" s="4"/>
    </row>
    <row r="596" spans="4:27" ht="15">
      <c r="D596" s="28"/>
      <c r="E596" s="28"/>
      <c r="F596" s="28"/>
      <c r="H596" s="17"/>
      <c r="I596" s="17"/>
      <c r="J596" s="17"/>
      <c r="K596" s="17"/>
      <c r="L596" s="17"/>
      <c r="M596" s="17"/>
      <c r="Y596" s="4" t="s">
        <v>177</v>
      </c>
      <c r="Z596" s="4" t="s">
        <v>198</v>
      </c>
      <c r="AA596" s="4"/>
    </row>
    <row r="597" spans="4:27" ht="15">
      <c r="D597" s="28"/>
      <c r="E597" s="28"/>
      <c r="F597" s="28"/>
      <c r="H597" s="17"/>
      <c r="I597" s="17"/>
      <c r="J597" s="17"/>
      <c r="K597" s="17"/>
      <c r="L597" s="17"/>
      <c r="M597" s="17"/>
      <c r="Y597" s="4" t="s">
        <v>177</v>
      </c>
      <c r="Z597" s="4" t="s">
        <v>199</v>
      </c>
      <c r="AA597" s="4"/>
    </row>
    <row r="598" spans="4:27" ht="15">
      <c r="D598" s="28"/>
      <c r="E598" s="28"/>
      <c r="F598" s="28"/>
      <c r="H598" s="17"/>
      <c r="I598" s="17"/>
      <c r="J598" s="17"/>
      <c r="K598" s="17"/>
      <c r="L598" s="17"/>
      <c r="M598" s="17"/>
      <c r="Y598" s="4" t="s">
        <v>177</v>
      </c>
      <c r="Z598" s="4" t="s">
        <v>199</v>
      </c>
      <c r="AA598" s="4"/>
    </row>
    <row r="599" spans="4:27" ht="15">
      <c r="D599" s="28"/>
      <c r="E599" s="28"/>
      <c r="F599" s="28"/>
      <c r="H599" s="17"/>
      <c r="I599" s="17"/>
      <c r="J599" s="17"/>
      <c r="K599" s="17"/>
      <c r="L599" s="17"/>
      <c r="M599" s="17"/>
      <c r="Y599" s="4" t="s">
        <v>177</v>
      </c>
      <c r="Z599" s="4" t="s">
        <v>199</v>
      </c>
      <c r="AA599" s="4"/>
    </row>
    <row r="600" spans="4:27" ht="15">
      <c r="D600" s="28"/>
      <c r="E600" s="28"/>
      <c r="F600" s="28"/>
      <c r="H600" s="17"/>
      <c r="I600" s="17"/>
      <c r="J600" s="17"/>
      <c r="K600" s="17"/>
      <c r="L600" s="17"/>
      <c r="M600" s="17"/>
      <c r="Y600" s="4" t="s">
        <v>177</v>
      </c>
      <c r="Z600" s="4" t="s">
        <v>200</v>
      </c>
      <c r="AA600" s="4"/>
    </row>
    <row r="601" spans="4:27" ht="15">
      <c r="D601" s="28"/>
      <c r="E601" s="28"/>
      <c r="F601" s="28"/>
      <c r="H601" s="17"/>
      <c r="I601" s="17"/>
      <c r="J601" s="17"/>
      <c r="K601" s="17"/>
      <c r="L601" s="17"/>
      <c r="M601" s="17"/>
      <c r="Y601" s="4" t="s">
        <v>177</v>
      </c>
      <c r="Z601" s="4" t="s">
        <v>200</v>
      </c>
      <c r="AA601" s="4"/>
    </row>
    <row r="602" spans="4:27" ht="15">
      <c r="D602" s="28"/>
      <c r="E602" s="28"/>
      <c r="F602" s="28"/>
      <c r="H602" s="17"/>
      <c r="I602" s="17"/>
      <c r="J602" s="17"/>
      <c r="K602" s="17"/>
      <c r="L602" s="17"/>
      <c r="M602" s="17"/>
      <c r="Y602" s="4" t="s">
        <v>177</v>
      </c>
      <c r="Z602" s="4" t="s">
        <v>200</v>
      </c>
      <c r="AA602" s="4"/>
    </row>
    <row r="603" spans="4:27" ht="15">
      <c r="D603" s="28"/>
      <c r="E603" s="28"/>
      <c r="F603" s="28"/>
      <c r="H603" s="17"/>
      <c r="I603" s="17"/>
      <c r="J603" s="17"/>
      <c r="K603" s="17"/>
      <c r="L603" s="17"/>
      <c r="M603" s="17"/>
      <c r="Y603" s="4" t="s">
        <v>177</v>
      </c>
      <c r="Z603" s="4" t="s">
        <v>201</v>
      </c>
      <c r="AA603" s="4"/>
    </row>
    <row r="604" spans="4:27" ht="15">
      <c r="D604" s="28"/>
      <c r="E604" s="28"/>
      <c r="F604" s="28"/>
      <c r="H604" s="17"/>
      <c r="I604" s="17"/>
      <c r="J604" s="17"/>
      <c r="K604" s="17"/>
      <c r="L604" s="17"/>
      <c r="M604" s="17"/>
      <c r="Y604" s="4" t="s">
        <v>177</v>
      </c>
      <c r="Z604" s="4" t="s">
        <v>202</v>
      </c>
      <c r="AA604" s="4"/>
    </row>
    <row r="605" spans="4:27" ht="15">
      <c r="D605" s="28"/>
      <c r="E605" s="28"/>
      <c r="F605" s="28"/>
      <c r="H605" s="17"/>
      <c r="I605" s="17"/>
      <c r="J605" s="17"/>
      <c r="K605" s="17"/>
      <c r="L605" s="17"/>
      <c r="M605" s="17"/>
      <c r="Y605" s="4" t="s">
        <v>177</v>
      </c>
      <c r="Z605" s="4" t="s">
        <v>203</v>
      </c>
      <c r="AA605" s="4"/>
    </row>
    <row r="606" spans="4:27" ht="15">
      <c r="D606" s="28"/>
      <c r="E606" s="28"/>
      <c r="F606" s="28"/>
      <c r="H606" s="17"/>
      <c r="I606" s="17"/>
      <c r="J606" s="17"/>
      <c r="K606" s="17"/>
      <c r="L606" s="17"/>
      <c r="M606" s="17"/>
      <c r="Y606" s="4" t="s">
        <v>177</v>
      </c>
      <c r="Z606" s="4" t="s">
        <v>203</v>
      </c>
      <c r="AA606" s="4"/>
    </row>
    <row r="607" spans="4:27" ht="15">
      <c r="D607" s="28"/>
      <c r="E607" s="28"/>
      <c r="F607" s="28"/>
      <c r="H607" s="17"/>
      <c r="I607" s="17"/>
      <c r="J607" s="17"/>
      <c r="K607" s="17"/>
      <c r="L607" s="17"/>
      <c r="M607" s="17"/>
      <c r="Y607" s="4" t="s">
        <v>177</v>
      </c>
      <c r="Z607" s="4" t="s">
        <v>203</v>
      </c>
      <c r="AA607" s="4"/>
    </row>
    <row r="608" spans="4:27" ht="15">
      <c r="D608" s="28"/>
      <c r="E608" s="28"/>
      <c r="F608" s="28"/>
      <c r="H608" s="17"/>
      <c r="I608" s="17"/>
      <c r="J608" s="17"/>
      <c r="K608" s="17"/>
      <c r="L608" s="17"/>
      <c r="M608" s="17"/>
      <c r="Y608" s="4" t="s">
        <v>177</v>
      </c>
      <c r="Z608" s="4" t="s">
        <v>203</v>
      </c>
      <c r="AA608" s="4"/>
    </row>
    <row r="609" spans="4:27" ht="15">
      <c r="D609" s="28"/>
      <c r="E609" s="28"/>
      <c r="F609" s="28"/>
      <c r="H609" s="17"/>
      <c r="I609" s="17"/>
      <c r="J609" s="17"/>
      <c r="K609" s="17"/>
      <c r="L609" s="17"/>
      <c r="M609" s="17"/>
      <c r="Y609" s="4" t="s">
        <v>177</v>
      </c>
      <c r="Z609" s="4" t="s">
        <v>203</v>
      </c>
      <c r="AA609" s="4"/>
    </row>
    <row r="610" spans="4:27" ht="15">
      <c r="D610" s="28"/>
      <c r="E610" s="28"/>
      <c r="F610" s="28"/>
      <c r="H610" s="17"/>
      <c r="I610" s="17"/>
      <c r="J610" s="17"/>
      <c r="K610" s="17"/>
      <c r="L610" s="17"/>
      <c r="M610" s="17"/>
      <c r="Y610" s="4" t="s">
        <v>177</v>
      </c>
      <c r="Z610" s="4" t="s">
        <v>203</v>
      </c>
      <c r="AA610" s="4"/>
    </row>
    <row r="611" spans="4:27" ht="15">
      <c r="D611" s="28"/>
      <c r="E611" s="28"/>
      <c r="F611" s="28"/>
      <c r="H611" s="17"/>
      <c r="I611" s="17"/>
      <c r="J611" s="17"/>
      <c r="K611" s="17"/>
      <c r="L611" s="17"/>
      <c r="M611" s="17"/>
      <c r="Y611" s="4" t="s">
        <v>177</v>
      </c>
      <c r="Z611" s="4" t="s">
        <v>203</v>
      </c>
      <c r="AA611" s="4"/>
    </row>
    <row r="612" spans="4:27" ht="15">
      <c r="D612" s="28"/>
      <c r="E612" s="28"/>
      <c r="F612" s="28"/>
      <c r="H612" s="17"/>
      <c r="I612" s="17"/>
      <c r="J612" s="17"/>
      <c r="K612" s="17"/>
      <c r="L612" s="17"/>
      <c r="M612" s="17"/>
      <c r="Y612" s="4" t="s">
        <v>177</v>
      </c>
      <c r="Z612" s="4" t="s">
        <v>203</v>
      </c>
      <c r="AA612" s="4"/>
    </row>
    <row r="613" spans="4:27" ht="15">
      <c r="D613" s="28"/>
      <c r="E613" s="28"/>
      <c r="F613" s="28"/>
      <c r="H613" s="17"/>
      <c r="I613" s="17"/>
      <c r="J613" s="17"/>
      <c r="K613" s="17"/>
      <c r="L613" s="17"/>
      <c r="M613" s="17"/>
      <c r="Y613" s="4" t="s">
        <v>177</v>
      </c>
      <c r="Z613" s="4" t="s">
        <v>203</v>
      </c>
      <c r="AA613" s="4"/>
    </row>
    <row r="614" spans="4:27" ht="15">
      <c r="D614" s="28"/>
      <c r="E614" s="28"/>
      <c r="F614" s="28"/>
      <c r="H614" s="17"/>
      <c r="I614" s="17"/>
      <c r="J614" s="17"/>
      <c r="K614" s="17"/>
      <c r="L614" s="17"/>
      <c r="M614" s="17"/>
      <c r="Y614" s="4" t="s">
        <v>177</v>
      </c>
      <c r="Z614" s="4" t="s">
        <v>203</v>
      </c>
      <c r="AA614" s="4"/>
    </row>
    <row r="615" spans="4:27" ht="15">
      <c r="D615" s="28"/>
      <c r="E615" s="28"/>
      <c r="F615" s="28"/>
      <c r="H615" s="17"/>
      <c r="I615" s="17"/>
      <c r="J615" s="17"/>
      <c r="K615" s="17"/>
      <c r="L615" s="17"/>
      <c r="M615" s="17"/>
      <c r="Y615" s="4" t="s">
        <v>177</v>
      </c>
      <c r="Z615" s="4" t="s">
        <v>204</v>
      </c>
      <c r="AA615" s="4"/>
    </row>
    <row r="616" spans="4:27" ht="15">
      <c r="D616" s="28"/>
      <c r="E616" s="28"/>
      <c r="F616" s="28"/>
      <c r="H616" s="17"/>
      <c r="I616" s="17"/>
      <c r="J616" s="17"/>
      <c r="K616" s="17"/>
      <c r="L616" s="17"/>
      <c r="M616" s="17"/>
      <c r="Y616" s="4" t="s">
        <v>177</v>
      </c>
      <c r="Z616" s="4" t="s">
        <v>205</v>
      </c>
      <c r="AA616" s="4"/>
    </row>
    <row r="617" spans="4:27" ht="15">
      <c r="D617" s="28"/>
      <c r="E617" s="28"/>
      <c r="F617" s="28"/>
      <c r="H617" s="17"/>
      <c r="I617" s="17"/>
      <c r="J617" s="17"/>
      <c r="K617" s="17"/>
      <c r="L617" s="17"/>
      <c r="M617" s="17"/>
      <c r="Y617" s="4" t="s">
        <v>177</v>
      </c>
      <c r="Z617" s="4" t="s">
        <v>206</v>
      </c>
      <c r="AA617" s="4"/>
    </row>
    <row r="618" spans="4:27" ht="15">
      <c r="D618" s="28"/>
      <c r="E618" s="28"/>
      <c r="F618" s="28"/>
      <c r="H618" s="17"/>
      <c r="I618" s="17"/>
      <c r="J618" s="17"/>
      <c r="K618" s="17"/>
      <c r="L618" s="17"/>
      <c r="M618" s="17"/>
      <c r="Y618" s="4" t="s">
        <v>177</v>
      </c>
      <c r="Z618" s="4" t="s">
        <v>207</v>
      </c>
      <c r="AA618" s="4"/>
    </row>
    <row r="619" spans="4:27" ht="15">
      <c r="D619" s="28"/>
      <c r="E619" s="28"/>
      <c r="F619" s="28"/>
      <c r="H619" s="17"/>
      <c r="I619" s="17"/>
      <c r="J619" s="17"/>
      <c r="K619" s="17"/>
      <c r="L619" s="17"/>
      <c r="M619" s="17"/>
      <c r="Y619" s="4" t="s">
        <v>177</v>
      </c>
      <c r="Z619" s="4" t="s">
        <v>208</v>
      </c>
      <c r="AA619" s="4"/>
    </row>
    <row r="620" spans="4:27" ht="15">
      <c r="D620" s="28"/>
      <c r="E620" s="28"/>
      <c r="F620" s="28"/>
      <c r="H620" s="17"/>
      <c r="I620" s="17"/>
      <c r="J620" s="17"/>
      <c r="K620" s="17"/>
      <c r="L620" s="17"/>
      <c r="M620" s="17"/>
      <c r="Y620" s="4" t="s">
        <v>177</v>
      </c>
      <c r="Z620" s="4" t="s">
        <v>209</v>
      </c>
      <c r="AA620" s="4"/>
    </row>
    <row r="621" spans="4:27" ht="15">
      <c r="D621" s="28"/>
      <c r="E621" s="28"/>
      <c r="F621" s="28"/>
      <c r="H621" s="17"/>
      <c r="I621" s="17"/>
      <c r="J621" s="17"/>
      <c r="K621" s="17"/>
      <c r="L621" s="17"/>
      <c r="M621" s="17"/>
      <c r="Y621" s="4" t="s">
        <v>177</v>
      </c>
      <c r="Z621" s="4" t="s">
        <v>210</v>
      </c>
      <c r="AA621" s="4"/>
    </row>
    <row r="622" spans="4:27" ht="15">
      <c r="D622" s="28"/>
      <c r="E622" s="28"/>
      <c r="F622" s="28"/>
      <c r="H622" s="17"/>
      <c r="I622" s="17"/>
      <c r="J622" s="17"/>
      <c r="K622" s="17"/>
      <c r="L622" s="17"/>
      <c r="M622" s="17"/>
      <c r="Y622" s="4" t="s">
        <v>177</v>
      </c>
      <c r="Z622" s="4" t="s">
        <v>210</v>
      </c>
      <c r="AA622" s="4"/>
    </row>
    <row r="623" spans="4:27" ht="15">
      <c r="D623" s="28"/>
      <c r="E623" s="28"/>
      <c r="F623" s="28"/>
      <c r="H623" s="17"/>
      <c r="I623" s="17"/>
      <c r="J623" s="17"/>
      <c r="K623" s="17"/>
      <c r="L623" s="17"/>
      <c r="M623" s="17"/>
      <c r="Y623" s="4" t="s">
        <v>177</v>
      </c>
      <c r="Z623" s="4" t="s">
        <v>210</v>
      </c>
      <c r="AA623" s="4"/>
    </row>
    <row r="624" spans="4:27" ht="15">
      <c r="D624" s="28"/>
      <c r="E624" s="28"/>
      <c r="F624" s="28"/>
      <c r="H624" s="17"/>
      <c r="I624" s="17"/>
      <c r="J624" s="17"/>
      <c r="K624" s="17"/>
      <c r="L624" s="17"/>
      <c r="M624" s="17"/>
      <c r="Y624" s="4" t="s">
        <v>177</v>
      </c>
      <c r="Z624" s="4" t="s">
        <v>210</v>
      </c>
      <c r="AA624" s="4"/>
    </row>
    <row r="625" spans="4:27" ht="15">
      <c r="D625" s="28"/>
      <c r="E625" s="28"/>
      <c r="F625" s="28"/>
      <c r="H625" s="17"/>
      <c r="I625" s="17"/>
      <c r="J625" s="17"/>
      <c r="K625" s="17"/>
      <c r="L625" s="17"/>
      <c r="M625" s="17"/>
      <c r="Y625" s="4" t="s">
        <v>177</v>
      </c>
      <c r="Z625" s="4" t="s">
        <v>210</v>
      </c>
      <c r="AA625" s="4"/>
    </row>
    <row r="626" spans="4:27" ht="15">
      <c r="D626" s="28"/>
      <c r="E626" s="28"/>
      <c r="F626" s="28"/>
      <c r="H626" s="17"/>
      <c r="I626" s="17"/>
      <c r="J626" s="17"/>
      <c r="K626" s="17"/>
      <c r="L626" s="17"/>
      <c r="M626" s="17"/>
      <c r="Y626" s="4" t="s">
        <v>177</v>
      </c>
      <c r="Z626" s="4" t="s">
        <v>210</v>
      </c>
      <c r="AA626" s="4"/>
    </row>
    <row r="627" spans="4:27" ht="15">
      <c r="D627" s="28"/>
      <c r="E627" s="28"/>
      <c r="F627" s="28"/>
      <c r="H627" s="17"/>
      <c r="I627" s="17"/>
      <c r="J627" s="17"/>
      <c r="K627" s="17"/>
      <c r="L627" s="17"/>
      <c r="M627" s="17"/>
      <c r="Y627" s="4" t="s">
        <v>177</v>
      </c>
      <c r="Z627" s="4" t="s">
        <v>210</v>
      </c>
      <c r="AA627" s="4"/>
    </row>
    <row r="628" spans="4:27" ht="15">
      <c r="D628" s="28"/>
      <c r="E628" s="28"/>
      <c r="F628" s="28"/>
      <c r="H628" s="17"/>
      <c r="I628" s="17"/>
      <c r="J628" s="17"/>
      <c r="K628" s="17"/>
      <c r="L628" s="17"/>
      <c r="M628" s="17"/>
      <c r="Y628" s="4" t="s">
        <v>177</v>
      </c>
      <c r="Z628" s="4" t="s">
        <v>211</v>
      </c>
      <c r="AA628" s="4"/>
    </row>
    <row r="629" spans="4:27" ht="15">
      <c r="D629" s="28"/>
      <c r="E629" s="28"/>
      <c r="F629" s="28"/>
      <c r="H629" s="17"/>
      <c r="I629" s="17"/>
      <c r="J629" s="17"/>
      <c r="K629" s="17"/>
      <c r="L629" s="17"/>
      <c r="M629" s="17"/>
      <c r="Y629" s="4" t="s">
        <v>177</v>
      </c>
      <c r="Z629" s="4" t="s">
        <v>211</v>
      </c>
      <c r="AA629" s="4"/>
    </row>
    <row r="630" spans="4:27" ht="15">
      <c r="D630" s="28"/>
      <c r="E630" s="28"/>
      <c r="F630" s="28"/>
      <c r="H630" s="17"/>
      <c r="I630" s="17"/>
      <c r="J630" s="17"/>
      <c r="K630" s="17"/>
      <c r="L630" s="17"/>
      <c r="M630" s="17"/>
      <c r="Y630" s="4" t="s">
        <v>177</v>
      </c>
      <c r="Z630" s="4" t="s">
        <v>211</v>
      </c>
      <c r="AA630" s="4"/>
    </row>
    <row r="631" spans="4:27" ht="15">
      <c r="D631" s="28"/>
      <c r="E631" s="28"/>
      <c r="F631" s="28"/>
      <c r="H631" s="17"/>
      <c r="I631" s="17"/>
      <c r="J631" s="17"/>
      <c r="K631" s="17"/>
      <c r="L631" s="17"/>
      <c r="M631" s="17"/>
      <c r="Y631" s="4" t="s">
        <v>177</v>
      </c>
      <c r="Z631" s="4" t="s">
        <v>212</v>
      </c>
      <c r="AA631" s="4"/>
    </row>
    <row r="632" spans="4:27" ht="15">
      <c r="D632" s="28"/>
      <c r="E632" s="28"/>
      <c r="F632" s="28"/>
      <c r="H632" s="17"/>
      <c r="I632" s="17"/>
      <c r="J632" s="17"/>
      <c r="K632" s="17"/>
      <c r="L632" s="17"/>
      <c r="M632" s="17"/>
      <c r="Y632" s="4" t="s">
        <v>177</v>
      </c>
      <c r="Z632" s="4" t="s">
        <v>212</v>
      </c>
      <c r="AA632" s="4"/>
    </row>
    <row r="633" spans="4:27" ht="15">
      <c r="D633" s="28"/>
      <c r="E633" s="28"/>
      <c r="F633" s="28"/>
      <c r="H633" s="17"/>
      <c r="I633" s="17"/>
      <c r="J633" s="17"/>
      <c r="K633" s="17"/>
      <c r="L633" s="17"/>
      <c r="M633" s="17"/>
      <c r="Y633" s="4" t="s">
        <v>177</v>
      </c>
      <c r="Z633" s="4" t="s">
        <v>212</v>
      </c>
      <c r="AA633" s="4"/>
    </row>
    <row r="634" spans="4:27" ht="15">
      <c r="D634" s="28"/>
      <c r="E634" s="28"/>
      <c r="F634" s="28"/>
      <c r="H634" s="17"/>
      <c r="I634" s="17"/>
      <c r="J634" s="17"/>
      <c r="K634" s="17"/>
      <c r="L634" s="17"/>
      <c r="M634" s="17"/>
      <c r="Y634" s="4" t="s">
        <v>177</v>
      </c>
      <c r="Z634" s="4" t="s">
        <v>213</v>
      </c>
      <c r="AA634" s="4"/>
    </row>
    <row r="635" spans="4:27" ht="15">
      <c r="D635" s="28"/>
      <c r="E635" s="28"/>
      <c r="F635" s="28"/>
      <c r="H635" s="17"/>
      <c r="I635" s="17"/>
      <c r="J635" s="17"/>
      <c r="K635" s="17"/>
      <c r="L635" s="17"/>
      <c r="M635" s="17"/>
      <c r="Y635" s="4" t="s">
        <v>177</v>
      </c>
      <c r="Z635" s="4" t="s">
        <v>213</v>
      </c>
      <c r="AA635" s="4"/>
    </row>
    <row r="636" spans="4:27" ht="15">
      <c r="D636" s="28"/>
      <c r="E636" s="28"/>
      <c r="F636" s="28"/>
      <c r="H636" s="17"/>
      <c r="I636" s="17"/>
      <c r="J636" s="17"/>
      <c r="K636" s="17"/>
      <c r="L636" s="17"/>
      <c r="M636" s="17"/>
      <c r="Y636" s="4" t="s">
        <v>177</v>
      </c>
      <c r="Z636" s="4" t="s">
        <v>213</v>
      </c>
      <c r="AA636" s="4"/>
    </row>
    <row r="637" spans="4:27" ht="15">
      <c r="D637" s="28"/>
      <c r="E637" s="28"/>
      <c r="F637" s="28"/>
      <c r="H637" s="17"/>
      <c r="I637" s="17"/>
      <c r="J637" s="17"/>
      <c r="K637" s="17"/>
      <c r="L637" s="17"/>
      <c r="M637" s="17"/>
      <c r="Y637" s="4" t="s">
        <v>177</v>
      </c>
      <c r="Z637" s="4" t="s">
        <v>213</v>
      </c>
      <c r="AA637" s="4"/>
    </row>
    <row r="638" spans="4:27" ht="15">
      <c r="D638" s="28"/>
      <c r="E638" s="28"/>
      <c r="F638" s="28"/>
      <c r="H638" s="17"/>
      <c r="I638" s="17"/>
      <c r="J638" s="17"/>
      <c r="K638" s="17"/>
      <c r="L638" s="17"/>
      <c r="M638" s="17"/>
      <c r="Y638" s="4" t="s">
        <v>177</v>
      </c>
      <c r="Z638" s="4" t="s">
        <v>214</v>
      </c>
      <c r="AA638" s="4"/>
    </row>
    <row r="639" spans="4:27" ht="15">
      <c r="D639" s="28"/>
      <c r="E639" s="28"/>
      <c r="F639" s="28"/>
      <c r="H639" s="17"/>
      <c r="I639" s="17"/>
      <c r="J639" s="17"/>
      <c r="K639" s="17"/>
      <c r="L639" s="17"/>
      <c r="M639" s="17"/>
      <c r="Y639" s="4" t="s">
        <v>177</v>
      </c>
      <c r="Z639" s="4" t="s">
        <v>214</v>
      </c>
      <c r="AA639" s="4"/>
    </row>
    <row r="640" spans="4:27" ht="15">
      <c r="D640" s="28"/>
      <c r="E640" s="28"/>
      <c r="F640" s="28"/>
      <c r="H640" s="17"/>
      <c r="I640" s="17"/>
      <c r="J640" s="17"/>
      <c r="K640" s="17"/>
      <c r="L640" s="17"/>
      <c r="M640" s="17"/>
      <c r="Y640" s="4" t="s">
        <v>177</v>
      </c>
      <c r="Z640" s="4" t="s">
        <v>214</v>
      </c>
      <c r="AA640" s="4"/>
    </row>
    <row r="641" spans="4:27" ht="15">
      <c r="D641" s="28"/>
      <c r="E641" s="28"/>
      <c r="F641" s="28"/>
      <c r="H641" s="17"/>
      <c r="I641" s="17"/>
      <c r="J641" s="17"/>
      <c r="K641" s="17"/>
      <c r="L641" s="17"/>
      <c r="M641" s="17"/>
      <c r="Y641" s="4" t="s">
        <v>177</v>
      </c>
      <c r="Z641" s="4" t="s">
        <v>214</v>
      </c>
      <c r="AA641" s="4"/>
    </row>
    <row r="642" spans="4:27" ht="15">
      <c r="D642" s="28"/>
      <c r="E642" s="28"/>
      <c r="F642" s="28"/>
      <c r="H642" s="17"/>
      <c r="I642" s="17"/>
      <c r="J642" s="17"/>
      <c r="K642" s="17"/>
      <c r="L642" s="17"/>
      <c r="M642" s="17"/>
      <c r="Y642" s="4" t="s">
        <v>177</v>
      </c>
      <c r="Z642" s="4" t="s">
        <v>215</v>
      </c>
      <c r="AA642" s="4"/>
    </row>
    <row r="643" spans="4:27" ht="15">
      <c r="D643" s="28"/>
      <c r="E643" s="28"/>
      <c r="F643" s="28"/>
      <c r="H643" s="17"/>
      <c r="I643" s="17"/>
      <c r="J643" s="17"/>
      <c r="K643" s="17"/>
      <c r="L643" s="17"/>
      <c r="M643" s="17"/>
      <c r="Y643" s="4" t="s">
        <v>177</v>
      </c>
      <c r="Z643" s="4" t="s">
        <v>216</v>
      </c>
      <c r="AA643" s="4"/>
    </row>
    <row r="644" spans="4:27" ht="15">
      <c r="D644" s="28"/>
      <c r="E644" s="28"/>
      <c r="F644" s="28"/>
      <c r="H644" s="17"/>
      <c r="I644" s="17"/>
      <c r="J644" s="17"/>
      <c r="K644" s="17"/>
      <c r="L644" s="17"/>
      <c r="M644" s="17"/>
      <c r="Y644" s="4" t="s">
        <v>177</v>
      </c>
      <c r="Z644" s="4" t="s">
        <v>216</v>
      </c>
      <c r="AA644" s="4"/>
    </row>
    <row r="645" spans="4:27" ht="15">
      <c r="D645" s="28"/>
      <c r="E645" s="28"/>
      <c r="F645" s="28"/>
      <c r="H645" s="17"/>
      <c r="I645" s="17"/>
      <c r="J645" s="17"/>
      <c r="K645" s="17"/>
      <c r="L645" s="17"/>
      <c r="M645" s="17"/>
      <c r="Y645" s="4" t="s">
        <v>177</v>
      </c>
      <c r="Z645" s="4" t="s">
        <v>217</v>
      </c>
      <c r="AA645" s="4"/>
    </row>
    <row r="646" spans="4:27" ht="15">
      <c r="D646" s="28"/>
      <c r="E646" s="28"/>
      <c r="F646" s="28"/>
      <c r="H646" s="17"/>
      <c r="I646" s="17"/>
      <c r="J646" s="17"/>
      <c r="K646" s="17" t="s">
        <v>218</v>
      </c>
      <c r="L646" s="17"/>
      <c r="M646" s="17"/>
      <c r="Y646" s="4" t="s">
        <v>177</v>
      </c>
      <c r="Z646" s="4" t="s">
        <v>217</v>
      </c>
      <c r="AA646" s="4"/>
    </row>
    <row r="647" spans="4:27" ht="15">
      <c r="D647" s="28"/>
      <c r="E647" s="28"/>
      <c r="F647" s="28"/>
      <c r="H647" s="17"/>
      <c r="I647" s="17"/>
      <c r="J647" s="17"/>
      <c r="K647" s="17" t="s">
        <v>218</v>
      </c>
      <c r="L647" s="17"/>
      <c r="M647" s="17"/>
      <c r="Y647" s="4" t="s">
        <v>177</v>
      </c>
      <c r="Z647" s="4" t="s">
        <v>217</v>
      </c>
      <c r="AA647" s="4"/>
    </row>
    <row r="648" spans="4:27" ht="15">
      <c r="D648" s="28"/>
      <c r="E648" s="28"/>
      <c r="F648" s="28"/>
      <c r="H648" s="17"/>
      <c r="I648" s="17"/>
      <c r="J648" s="17"/>
      <c r="K648" s="17" t="s">
        <v>218</v>
      </c>
      <c r="L648" s="17"/>
      <c r="M648" s="17"/>
      <c r="Y648" s="4" t="s">
        <v>177</v>
      </c>
      <c r="Z648" s="4" t="s">
        <v>217</v>
      </c>
      <c r="AA648" s="4"/>
    </row>
    <row r="649" spans="4:27" ht="15">
      <c r="D649" s="28"/>
      <c r="E649" s="28"/>
      <c r="F649" s="28"/>
      <c r="H649" s="17"/>
      <c r="I649" s="17"/>
      <c r="J649" s="17"/>
      <c r="K649" s="17"/>
      <c r="L649" s="17"/>
      <c r="M649" s="17"/>
      <c r="Y649" s="4" t="s">
        <v>177</v>
      </c>
      <c r="Z649" s="4" t="s">
        <v>217</v>
      </c>
      <c r="AA649" s="4"/>
    </row>
    <row r="650" spans="4:27" ht="15">
      <c r="D650" s="28"/>
      <c r="E650" s="28"/>
      <c r="F650" s="28"/>
      <c r="H650" s="17"/>
      <c r="I650" s="17"/>
      <c r="J650" s="17"/>
      <c r="K650" s="17"/>
      <c r="L650" s="17"/>
      <c r="M650" s="17"/>
      <c r="Y650" s="4" t="s">
        <v>177</v>
      </c>
      <c r="Z650" s="4" t="s">
        <v>217</v>
      </c>
      <c r="AA650" s="4"/>
    </row>
    <row r="651" spans="4:27" ht="15">
      <c r="D651" s="28"/>
      <c r="E651" s="28"/>
      <c r="F651" s="28"/>
      <c r="H651" s="17"/>
      <c r="I651" s="17"/>
      <c r="J651" s="17"/>
      <c r="K651" s="17"/>
      <c r="L651" s="17"/>
      <c r="M651" s="17"/>
      <c r="Y651" s="4" t="s">
        <v>177</v>
      </c>
      <c r="Z651" s="4" t="s">
        <v>217</v>
      </c>
      <c r="AA651" s="4"/>
    </row>
    <row r="652" spans="4:27" ht="15">
      <c r="D652" s="28"/>
      <c r="E652" s="28"/>
      <c r="F652" s="28"/>
      <c r="H652" s="17"/>
      <c r="I652" s="17"/>
      <c r="J652" s="17"/>
      <c r="K652" s="17"/>
      <c r="L652" s="17"/>
      <c r="M652" s="17"/>
      <c r="Y652" s="4" t="s">
        <v>177</v>
      </c>
      <c r="Z652" s="4" t="s">
        <v>217</v>
      </c>
      <c r="AA652" s="4"/>
    </row>
    <row r="653" spans="4:27" ht="15">
      <c r="D653" s="28"/>
      <c r="E653" s="28"/>
      <c r="F653" s="28"/>
      <c r="H653" s="17"/>
      <c r="I653" s="17"/>
      <c r="J653" s="17"/>
      <c r="K653" s="17"/>
      <c r="L653" s="17"/>
      <c r="M653" s="17"/>
      <c r="Y653" s="4" t="s">
        <v>177</v>
      </c>
      <c r="Z653" s="4" t="s">
        <v>217</v>
      </c>
      <c r="AA653" s="4"/>
    </row>
    <row r="654" spans="4:27" ht="15">
      <c r="D654" s="28"/>
      <c r="E654" s="28"/>
      <c r="F654" s="28"/>
      <c r="H654" s="17"/>
      <c r="I654" s="17"/>
      <c r="J654" s="17"/>
      <c r="K654" s="17"/>
      <c r="L654" s="17"/>
      <c r="M654" s="17"/>
      <c r="Y654" s="4" t="s">
        <v>177</v>
      </c>
      <c r="Z654" s="4" t="s">
        <v>217</v>
      </c>
      <c r="AA654" s="4"/>
    </row>
    <row r="655" spans="4:27" ht="15">
      <c r="D655" s="28"/>
      <c r="E655" s="28"/>
      <c r="F655" s="28"/>
      <c r="H655" s="17"/>
      <c r="I655" s="17"/>
      <c r="J655" s="17"/>
      <c r="K655" s="17"/>
      <c r="L655" s="17"/>
      <c r="M655" s="17"/>
      <c r="Y655" s="4" t="s">
        <v>177</v>
      </c>
      <c r="Z655" s="4" t="s">
        <v>217</v>
      </c>
      <c r="AA655" s="4"/>
    </row>
    <row r="656" spans="4:27" ht="15">
      <c r="D656" s="28"/>
      <c r="E656" s="28"/>
      <c r="F656" s="28"/>
      <c r="H656" s="17"/>
      <c r="I656" s="17"/>
      <c r="J656" s="17"/>
      <c r="K656" s="17"/>
      <c r="L656" s="17"/>
      <c r="M656" s="17"/>
      <c r="Y656" s="4" t="s">
        <v>177</v>
      </c>
      <c r="Z656" s="4" t="s">
        <v>217</v>
      </c>
      <c r="AA656" s="4"/>
    </row>
    <row r="657" spans="4:27" ht="15">
      <c r="D657" s="28"/>
      <c r="E657" s="28"/>
      <c r="F657" s="28"/>
      <c r="H657" s="17"/>
      <c r="I657" s="17"/>
      <c r="J657" s="17"/>
      <c r="K657" s="17"/>
      <c r="L657" s="17"/>
      <c r="M657" s="17"/>
      <c r="Y657" s="4" t="s">
        <v>177</v>
      </c>
      <c r="Z657" s="4" t="s">
        <v>219</v>
      </c>
      <c r="AA657" s="4"/>
    </row>
    <row r="658" spans="4:27" ht="15">
      <c r="D658" s="28"/>
      <c r="E658" s="28"/>
      <c r="F658" s="28"/>
      <c r="H658" s="17"/>
      <c r="I658" s="17"/>
      <c r="J658" s="17"/>
      <c r="K658" s="17" t="s">
        <v>220</v>
      </c>
      <c r="L658" s="17"/>
      <c r="M658" s="17"/>
      <c r="Y658" s="4" t="s">
        <v>177</v>
      </c>
      <c r="Z658" s="4" t="s">
        <v>219</v>
      </c>
      <c r="AA658" s="4"/>
    </row>
    <row r="659" spans="4:27" ht="15">
      <c r="D659" s="28"/>
      <c r="E659" s="28"/>
      <c r="F659" s="28"/>
      <c r="H659" s="17"/>
      <c r="I659" s="17"/>
      <c r="J659" s="17"/>
      <c r="K659" s="17"/>
      <c r="L659" s="17"/>
      <c r="M659" s="17"/>
      <c r="Y659" s="4" t="s">
        <v>177</v>
      </c>
      <c r="Z659" s="4" t="s">
        <v>221</v>
      </c>
      <c r="AA659" s="4"/>
    </row>
    <row r="660" spans="4:27" ht="15">
      <c r="D660" s="28"/>
      <c r="E660" s="28"/>
      <c r="F660" s="28"/>
      <c r="H660" s="17"/>
      <c r="I660" s="17"/>
      <c r="J660" s="17"/>
      <c r="K660" s="17"/>
      <c r="L660" s="17"/>
      <c r="M660" s="17"/>
      <c r="Y660" s="4" t="s">
        <v>177</v>
      </c>
      <c r="Z660" s="4" t="s">
        <v>222</v>
      </c>
      <c r="AA660" s="4"/>
    </row>
    <row r="661" spans="4:27" ht="15">
      <c r="D661" s="28"/>
      <c r="E661" s="28"/>
      <c r="F661" s="28"/>
      <c r="H661" s="17"/>
      <c r="I661" s="17"/>
      <c r="J661" s="17"/>
      <c r="K661" s="17"/>
      <c r="L661" s="17"/>
      <c r="M661" s="17"/>
      <c r="Y661" s="4" t="s">
        <v>177</v>
      </c>
      <c r="Z661" s="4" t="s">
        <v>223</v>
      </c>
      <c r="AA661" s="4"/>
    </row>
    <row r="662" spans="4:27" ht="15">
      <c r="D662" s="28"/>
      <c r="E662" s="28"/>
      <c r="F662" s="28"/>
      <c r="H662" s="17"/>
      <c r="I662" s="17"/>
      <c r="J662" s="17"/>
      <c r="K662" s="17"/>
      <c r="L662" s="17"/>
      <c r="M662" s="17"/>
      <c r="Y662" s="4" t="s">
        <v>177</v>
      </c>
      <c r="Z662" s="4" t="s">
        <v>223</v>
      </c>
      <c r="AA662" s="4"/>
    </row>
    <row r="663" spans="4:27" ht="15">
      <c r="D663" s="28"/>
      <c r="E663" s="28"/>
      <c r="F663" s="28"/>
      <c r="H663" s="17"/>
      <c r="I663" s="17"/>
      <c r="J663" s="17"/>
      <c r="K663" s="17"/>
      <c r="L663" s="17"/>
      <c r="M663" s="17"/>
      <c r="Y663" s="4" t="s">
        <v>177</v>
      </c>
      <c r="Z663" s="4" t="s">
        <v>223</v>
      </c>
      <c r="AA663" s="4"/>
    </row>
    <row r="664" spans="4:27" ht="15">
      <c r="D664" s="28"/>
      <c r="E664" s="28"/>
      <c r="F664" s="28"/>
      <c r="H664" s="17"/>
      <c r="I664" s="17"/>
      <c r="J664" s="17"/>
      <c r="K664" s="17"/>
      <c r="L664" s="17"/>
      <c r="M664" s="17"/>
      <c r="Y664" s="4" t="s">
        <v>177</v>
      </c>
      <c r="Z664" s="4" t="s">
        <v>223</v>
      </c>
      <c r="AA664" s="4"/>
    </row>
    <row r="665" spans="4:27" ht="15">
      <c r="D665" s="28"/>
      <c r="E665" s="28"/>
      <c r="F665" s="28"/>
      <c r="H665" s="17"/>
      <c r="I665" s="17"/>
      <c r="J665" s="17"/>
      <c r="K665" s="17"/>
      <c r="L665" s="17"/>
      <c r="M665" s="17"/>
      <c r="Y665" s="4" t="s">
        <v>177</v>
      </c>
      <c r="Z665" s="4" t="s">
        <v>223</v>
      </c>
      <c r="AA665" s="4"/>
    </row>
    <row r="666" spans="4:27" ht="15">
      <c r="D666" s="28"/>
      <c r="E666" s="28"/>
      <c r="F666" s="28"/>
      <c r="H666" s="17"/>
      <c r="I666" s="17"/>
      <c r="J666" s="17"/>
      <c r="K666" s="17"/>
      <c r="L666" s="17"/>
      <c r="M666" s="17"/>
      <c r="Y666" s="4" t="s">
        <v>177</v>
      </c>
      <c r="Z666" s="4" t="s">
        <v>223</v>
      </c>
      <c r="AA666" s="4"/>
    </row>
    <row r="667" spans="4:27" ht="15">
      <c r="D667" s="28"/>
      <c r="E667" s="28"/>
      <c r="F667" s="28"/>
      <c r="H667" s="17"/>
      <c r="I667" s="17"/>
      <c r="J667" s="17"/>
      <c r="K667" s="17"/>
      <c r="L667" s="17"/>
      <c r="M667" s="17"/>
      <c r="Y667" s="4" t="s">
        <v>177</v>
      </c>
      <c r="Z667" s="4" t="s">
        <v>223</v>
      </c>
      <c r="AA667" s="4"/>
    </row>
    <row r="668" spans="4:27" ht="15">
      <c r="D668" s="28"/>
      <c r="E668" s="28"/>
      <c r="F668" s="28"/>
      <c r="H668" s="17"/>
      <c r="I668" s="17"/>
      <c r="J668" s="17"/>
      <c r="K668" s="17"/>
      <c r="L668" s="17"/>
      <c r="M668" s="17"/>
      <c r="Y668" s="4" t="s">
        <v>177</v>
      </c>
      <c r="Z668" s="4" t="s">
        <v>223</v>
      </c>
      <c r="AA668" s="4"/>
    </row>
    <row r="669" spans="4:27" ht="15">
      <c r="D669" s="28"/>
      <c r="E669" s="28"/>
      <c r="F669" s="28"/>
      <c r="H669" s="17"/>
      <c r="I669" s="17"/>
      <c r="J669" s="17"/>
      <c r="K669" s="17"/>
      <c r="L669" s="17"/>
      <c r="M669" s="17"/>
      <c r="Y669" s="4" t="s">
        <v>177</v>
      </c>
      <c r="Z669" s="4" t="s">
        <v>223</v>
      </c>
      <c r="AA669" s="4"/>
    </row>
    <row r="670" spans="4:27" ht="15">
      <c r="D670" s="28"/>
      <c r="E670" s="28"/>
      <c r="F670" s="28"/>
      <c r="H670" s="17"/>
      <c r="I670" s="17"/>
      <c r="J670" s="17"/>
      <c r="K670" s="17"/>
      <c r="L670" s="17"/>
      <c r="M670" s="17"/>
      <c r="Y670" s="4" t="s">
        <v>177</v>
      </c>
      <c r="Z670" s="4" t="s">
        <v>223</v>
      </c>
      <c r="AA670" s="4"/>
    </row>
    <row r="671" spans="4:27" ht="15">
      <c r="D671" s="28"/>
      <c r="E671" s="28"/>
      <c r="F671" s="28"/>
      <c r="H671" s="17"/>
      <c r="I671" s="17"/>
      <c r="J671" s="17"/>
      <c r="K671" s="17"/>
      <c r="L671" s="17"/>
      <c r="M671" s="17"/>
      <c r="Y671" s="4" t="s">
        <v>177</v>
      </c>
      <c r="Z671" s="4" t="s">
        <v>224</v>
      </c>
      <c r="AA671" s="4"/>
    </row>
    <row r="672" spans="4:27" ht="15">
      <c r="D672" s="28"/>
      <c r="E672" s="28"/>
      <c r="F672" s="28"/>
      <c r="H672" s="17"/>
      <c r="I672" s="17"/>
      <c r="J672" s="17"/>
      <c r="K672" s="17" t="s">
        <v>156</v>
      </c>
      <c r="L672" s="17"/>
      <c r="M672" s="17"/>
      <c r="Y672" s="4" t="s">
        <v>177</v>
      </c>
      <c r="Z672" s="4" t="s">
        <v>225</v>
      </c>
      <c r="AA672" s="4"/>
    </row>
    <row r="673" spans="4:27" ht="15">
      <c r="D673" s="28"/>
      <c r="E673" s="28"/>
      <c r="F673" s="28"/>
      <c r="H673" s="17"/>
      <c r="I673" s="17"/>
      <c r="J673" s="17"/>
      <c r="K673" s="17"/>
      <c r="L673" s="17"/>
      <c r="M673" s="17"/>
      <c r="Y673" s="4" t="s">
        <v>177</v>
      </c>
      <c r="Z673" s="4" t="s">
        <v>225</v>
      </c>
      <c r="AA673" s="4"/>
    </row>
    <row r="674" spans="4:27" ht="15">
      <c r="D674" s="28"/>
      <c r="E674" s="28"/>
      <c r="F674" s="28"/>
      <c r="H674" s="17"/>
      <c r="I674" s="17"/>
      <c r="J674" s="17"/>
      <c r="K674" s="17"/>
      <c r="L674" s="17"/>
      <c r="M674" s="17"/>
      <c r="Y674" s="4" t="s">
        <v>177</v>
      </c>
      <c r="Z674" s="4" t="s">
        <v>225</v>
      </c>
      <c r="AA674" s="4"/>
    </row>
    <row r="675" spans="4:27" ht="15">
      <c r="D675" s="28"/>
      <c r="E675" s="28"/>
      <c r="F675" s="28"/>
      <c r="H675" s="17"/>
      <c r="I675" s="17"/>
      <c r="J675" s="17"/>
      <c r="K675" s="17"/>
      <c r="L675" s="17"/>
      <c r="M675" s="17"/>
      <c r="Y675" s="4" t="s">
        <v>177</v>
      </c>
      <c r="Z675" s="4" t="s">
        <v>225</v>
      </c>
      <c r="AA675" s="4"/>
    </row>
    <row r="676" spans="4:27" ht="15">
      <c r="D676" s="28"/>
      <c r="E676" s="28"/>
      <c r="F676" s="28"/>
      <c r="H676" s="17"/>
      <c r="I676" s="17"/>
      <c r="J676" s="17"/>
      <c r="K676" s="17"/>
      <c r="L676" s="17"/>
      <c r="M676" s="17"/>
      <c r="Y676" s="4" t="s">
        <v>177</v>
      </c>
      <c r="Z676" s="4" t="s">
        <v>226</v>
      </c>
      <c r="AA676" s="4"/>
    </row>
    <row r="677" spans="4:27" ht="15">
      <c r="D677" s="28"/>
      <c r="E677" s="28"/>
      <c r="F677" s="28"/>
      <c r="H677" s="17"/>
      <c r="I677" s="17"/>
      <c r="J677" s="17"/>
      <c r="K677" s="17"/>
      <c r="L677" s="17"/>
      <c r="M677" s="17"/>
      <c r="Y677" s="4" t="s">
        <v>177</v>
      </c>
      <c r="Z677" s="4" t="s">
        <v>227</v>
      </c>
      <c r="AA677" s="4"/>
    </row>
    <row r="678" spans="4:27" ht="15">
      <c r="D678" s="28"/>
      <c r="E678" s="28"/>
      <c r="F678" s="28"/>
      <c r="H678" s="17"/>
      <c r="I678" s="17"/>
      <c r="J678" s="17"/>
      <c r="K678" s="17" t="s">
        <v>220</v>
      </c>
      <c r="L678" s="17"/>
      <c r="M678" s="17"/>
      <c r="Y678" s="4" t="s">
        <v>177</v>
      </c>
      <c r="Z678" s="4" t="s">
        <v>228</v>
      </c>
      <c r="AA678" s="4"/>
    </row>
    <row r="679" spans="4:27" ht="15">
      <c r="D679" s="28"/>
      <c r="E679" s="28"/>
      <c r="F679" s="28"/>
      <c r="H679" s="17"/>
      <c r="I679" s="17"/>
      <c r="J679" s="17"/>
      <c r="K679" s="17" t="s">
        <v>229</v>
      </c>
      <c r="L679" s="17"/>
      <c r="M679" s="17"/>
      <c r="Y679" s="4" t="s">
        <v>177</v>
      </c>
      <c r="Z679" s="4" t="s">
        <v>228</v>
      </c>
      <c r="AA679" s="4"/>
    </row>
    <row r="680" spans="4:27" ht="15">
      <c r="D680" s="28"/>
      <c r="E680" s="28"/>
      <c r="F680" s="28"/>
      <c r="H680" s="17"/>
      <c r="I680" s="17"/>
      <c r="J680" s="17"/>
      <c r="K680" s="17"/>
      <c r="L680" s="17"/>
      <c r="M680" s="17"/>
      <c r="Y680" s="4" t="s">
        <v>177</v>
      </c>
      <c r="Z680" s="4" t="s">
        <v>228</v>
      </c>
      <c r="AA680" s="4"/>
    </row>
    <row r="681" spans="4:27" ht="15">
      <c r="D681" s="28"/>
      <c r="E681" s="28"/>
      <c r="F681" s="28"/>
      <c r="H681" s="17"/>
      <c r="I681" s="17"/>
      <c r="J681" s="17"/>
      <c r="K681" s="17"/>
      <c r="L681" s="17"/>
      <c r="M681" s="17"/>
      <c r="Y681" s="4" t="s">
        <v>177</v>
      </c>
      <c r="Z681" s="4" t="s">
        <v>228</v>
      </c>
      <c r="AA681" s="4"/>
    </row>
    <row r="682" spans="4:27" ht="15">
      <c r="D682" s="28"/>
      <c r="E682" s="28"/>
      <c r="F682" s="28"/>
      <c r="H682" s="17"/>
      <c r="I682" s="17"/>
      <c r="J682" s="17"/>
      <c r="K682" s="17"/>
      <c r="L682" s="17"/>
      <c r="M682" s="17"/>
      <c r="Y682" s="4" t="s">
        <v>177</v>
      </c>
      <c r="Z682" s="4" t="s">
        <v>228</v>
      </c>
      <c r="AA682" s="4"/>
    </row>
    <row r="683" spans="4:27" ht="15">
      <c r="D683" s="28"/>
      <c r="E683" s="28"/>
      <c r="F683" s="28"/>
      <c r="H683" s="17"/>
      <c r="I683" s="17"/>
      <c r="J683" s="17"/>
      <c r="K683" s="17"/>
      <c r="L683" s="17"/>
      <c r="M683" s="17"/>
      <c r="Y683" s="4" t="s">
        <v>177</v>
      </c>
      <c r="Z683" s="4" t="s">
        <v>228</v>
      </c>
      <c r="AA683" s="4"/>
    </row>
    <row r="684" spans="4:27" ht="15">
      <c r="D684" s="28"/>
      <c r="E684" s="28"/>
      <c r="F684" s="28"/>
      <c r="H684" s="17"/>
      <c r="I684" s="17"/>
      <c r="J684" s="17"/>
      <c r="K684" s="17"/>
      <c r="L684" s="17"/>
      <c r="M684" s="17"/>
      <c r="Y684" s="4" t="s">
        <v>177</v>
      </c>
      <c r="Z684" s="4" t="s">
        <v>230</v>
      </c>
      <c r="AA684" s="4"/>
    </row>
    <row r="685" spans="4:27" ht="15">
      <c r="D685" s="28"/>
      <c r="E685" s="28"/>
      <c r="F685" s="28"/>
      <c r="H685" s="17"/>
      <c r="I685" s="17"/>
      <c r="J685" s="17"/>
      <c r="K685" s="17" t="s">
        <v>231</v>
      </c>
      <c r="L685" s="17"/>
      <c r="M685" s="17"/>
      <c r="Y685" s="4" t="s">
        <v>177</v>
      </c>
      <c r="Z685" s="4" t="s">
        <v>230</v>
      </c>
      <c r="AA685" s="4"/>
    </row>
    <row r="686" spans="4:27" ht="15">
      <c r="D686" s="28"/>
      <c r="E686" s="28"/>
      <c r="F686" s="28"/>
      <c r="H686" s="17"/>
      <c r="I686" s="17"/>
      <c r="J686" s="17"/>
      <c r="K686" s="17"/>
      <c r="L686" s="17"/>
      <c r="M686" s="17"/>
      <c r="Y686" s="4" t="s">
        <v>177</v>
      </c>
      <c r="Z686" s="4" t="s">
        <v>230</v>
      </c>
      <c r="AA686" s="4"/>
    </row>
    <row r="687" spans="4:27" ht="15">
      <c r="D687" s="28"/>
      <c r="E687" s="28"/>
      <c r="F687" s="28"/>
      <c r="H687" s="17"/>
      <c r="I687" s="17"/>
      <c r="J687" s="17"/>
      <c r="K687" s="17"/>
      <c r="L687" s="17"/>
      <c r="M687" s="17"/>
      <c r="Y687" s="4" t="s">
        <v>177</v>
      </c>
      <c r="Z687" s="4" t="s">
        <v>232</v>
      </c>
      <c r="AA687" s="4"/>
    </row>
    <row r="688" spans="4:27" ht="15">
      <c r="D688" s="28"/>
      <c r="E688" s="28"/>
      <c r="F688" s="28"/>
      <c r="H688" s="17"/>
      <c r="I688" s="17"/>
      <c r="J688" s="17"/>
      <c r="K688" s="17"/>
      <c r="L688" s="17"/>
      <c r="M688" s="17"/>
      <c r="Y688" s="4" t="s">
        <v>177</v>
      </c>
      <c r="Z688" s="4" t="s">
        <v>232</v>
      </c>
      <c r="AA688" s="4"/>
    </row>
    <row r="689" spans="4:27" ht="15">
      <c r="D689" s="28"/>
      <c r="E689" s="28"/>
      <c r="F689" s="28"/>
      <c r="H689" s="17"/>
      <c r="I689" s="17"/>
      <c r="J689" s="17"/>
      <c r="K689" s="17"/>
      <c r="L689" s="17"/>
      <c r="M689" s="17"/>
      <c r="Y689" s="4" t="s">
        <v>177</v>
      </c>
      <c r="Z689" s="4" t="s">
        <v>233</v>
      </c>
      <c r="AA689" s="4"/>
    </row>
    <row r="690" spans="4:27" ht="15">
      <c r="D690" s="28"/>
      <c r="E690" s="28"/>
      <c r="F690" s="28"/>
      <c r="H690" s="17"/>
      <c r="I690" s="17"/>
      <c r="J690" s="17"/>
      <c r="K690" s="17"/>
      <c r="L690" s="17"/>
      <c r="M690" s="17"/>
      <c r="Y690" s="4" t="s">
        <v>177</v>
      </c>
      <c r="Z690" s="4" t="s">
        <v>233</v>
      </c>
      <c r="AA690" s="4"/>
    </row>
    <row r="691" spans="4:27" ht="15">
      <c r="D691" s="28"/>
      <c r="E691" s="28"/>
      <c r="F691" s="28"/>
      <c r="H691" s="17"/>
      <c r="I691" s="17"/>
      <c r="J691" s="17"/>
      <c r="K691" s="17"/>
      <c r="L691" s="17"/>
      <c r="M691" s="17"/>
      <c r="Y691" s="4" t="s">
        <v>177</v>
      </c>
      <c r="Z691" s="4" t="s">
        <v>233</v>
      </c>
      <c r="AA691" s="4"/>
    </row>
    <row r="692" spans="4:27" ht="15">
      <c r="D692" s="28"/>
      <c r="E692" s="28"/>
      <c r="F692" s="28"/>
      <c r="H692" s="17"/>
      <c r="I692" s="17"/>
      <c r="J692" s="17"/>
      <c r="K692" s="17"/>
      <c r="L692" s="17"/>
      <c r="M692" s="17"/>
      <c r="Y692" s="4" t="s">
        <v>177</v>
      </c>
      <c r="Z692" s="4" t="s">
        <v>234</v>
      </c>
      <c r="AA692" s="4"/>
    </row>
    <row r="693" spans="4:27" ht="15">
      <c r="D693" s="28"/>
      <c r="E693" s="28"/>
      <c r="F693" s="28"/>
      <c r="H693" s="17"/>
      <c r="I693" s="17"/>
      <c r="J693" s="17"/>
      <c r="K693" s="17"/>
      <c r="L693" s="17"/>
      <c r="M693" s="17"/>
      <c r="Y693" s="4" t="s">
        <v>177</v>
      </c>
      <c r="Z693" s="4" t="s">
        <v>234</v>
      </c>
      <c r="AA693" s="4"/>
    </row>
    <row r="694" spans="4:27" ht="15">
      <c r="D694" s="28"/>
      <c r="E694" s="28"/>
      <c r="F694" s="28"/>
      <c r="H694" s="17"/>
      <c r="I694" s="17"/>
      <c r="J694" s="17"/>
      <c r="K694" s="17"/>
      <c r="L694" s="17"/>
      <c r="M694" s="17"/>
      <c r="Y694" s="4" t="s">
        <v>177</v>
      </c>
      <c r="Z694" s="4" t="s">
        <v>235</v>
      </c>
      <c r="AA694" s="4"/>
    </row>
    <row r="695" spans="4:27" ht="15">
      <c r="D695" s="28"/>
      <c r="E695" s="28"/>
      <c r="F695" s="28"/>
      <c r="H695" s="17"/>
      <c r="I695" s="17"/>
      <c r="J695" s="17"/>
      <c r="K695" s="17"/>
      <c r="L695" s="17"/>
      <c r="M695" s="17"/>
      <c r="Y695" s="4" t="s">
        <v>177</v>
      </c>
      <c r="Z695" s="4" t="s">
        <v>235</v>
      </c>
      <c r="AA695" s="4"/>
    </row>
    <row r="696" spans="4:27" ht="15">
      <c r="D696" s="28"/>
      <c r="E696" s="28"/>
      <c r="F696" s="28"/>
      <c r="H696" s="17"/>
      <c r="I696" s="17"/>
      <c r="J696" s="17"/>
      <c r="K696" s="17"/>
      <c r="L696" s="17"/>
      <c r="M696" s="17"/>
      <c r="Y696" s="4" t="s">
        <v>177</v>
      </c>
      <c r="Z696" s="4" t="s">
        <v>235</v>
      </c>
      <c r="AA696" s="4"/>
    </row>
    <row r="697" spans="4:27" ht="15">
      <c r="D697" s="28"/>
      <c r="E697" s="28"/>
      <c r="F697" s="28"/>
      <c r="H697" s="17"/>
      <c r="I697" s="17"/>
      <c r="J697" s="17"/>
      <c r="K697" s="17"/>
      <c r="L697" s="17"/>
      <c r="M697" s="17"/>
      <c r="Y697" s="4" t="s">
        <v>177</v>
      </c>
      <c r="Z697" s="4" t="s">
        <v>235</v>
      </c>
      <c r="AA697" s="4"/>
    </row>
    <row r="698" spans="4:27" ht="15">
      <c r="D698" s="28"/>
      <c r="E698" s="28"/>
      <c r="F698" s="28"/>
      <c r="H698" s="17"/>
      <c r="I698" s="17"/>
      <c r="J698" s="17"/>
      <c r="K698" s="17"/>
      <c r="L698" s="17"/>
      <c r="M698" s="17"/>
      <c r="Y698" s="4" t="s">
        <v>177</v>
      </c>
      <c r="Z698" s="4" t="s">
        <v>236</v>
      </c>
      <c r="AA698" s="4"/>
    </row>
    <row r="699" spans="4:27" ht="15">
      <c r="D699" s="28"/>
      <c r="E699" s="28"/>
      <c r="F699" s="28"/>
      <c r="H699" s="17"/>
      <c r="I699" s="17"/>
      <c r="J699" s="17"/>
      <c r="K699" s="17"/>
      <c r="L699" s="17"/>
      <c r="M699" s="17"/>
      <c r="Y699" s="4" t="s">
        <v>177</v>
      </c>
      <c r="Z699" s="4" t="s">
        <v>236</v>
      </c>
      <c r="AA699" s="4"/>
    </row>
    <row r="700" spans="4:27" ht="15">
      <c r="D700" s="28"/>
      <c r="E700" s="28"/>
      <c r="F700" s="28"/>
      <c r="H700" s="17"/>
      <c r="I700" s="17"/>
      <c r="J700" s="17"/>
      <c r="K700" s="17"/>
      <c r="L700" s="17"/>
      <c r="M700" s="17"/>
      <c r="Y700" s="4" t="s">
        <v>177</v>
      </c>
      <c r="Z700" s="4" t="s">
        <v>236</v>
      </c>
      <c r="AA700" s="4"/>
    </row>
    <row r="701" spans="4:27" ht="15">
      <c r="D701" s="28"/>
      <c r="E701" s="28"/>
      <c r="F701" s="28"/>
      <c r="H701" s="17"/>
      <c r="I701" s="17"/>
      <c r="J701" s="17"/>
      <c r="K701" s="17"/>
      <c r="L701" s="17"/>
      <c r="M701" s="17"/>
      <c r="Y701" s="4" t="s">
        <v>177</v>
      </c>
      <c r="Z701" s="4" t="s">
        <v>236</v>
      </c>
      <c r="AA701" s="4"/>
    </row>
    <row r="702" spans="4:27" ht="15">
      <c r="D702" s="28"/>
      <c r="E702" s="28"/>
      <c r="F702" s="28"/>
      <c r="H702" s="17"/>
      <c r="I702" s="17"/>
      <c r="J702" s="17"/>
      <c r="K702" s="17"/>
      <c r="L702" s="17"/>
      <c r="M702" s="17"/>
      <c r="Y702" s="4" t="s">
        <v>177</v>
      </c>
      <c r="Z702" s="4" t="s">
        <v>237</v>
      </c>
      <c r="AA702" s="4"/>
    </row>
    <row r="703" spans="4:27" ht="15">
      <c r="D703" s="28"/>
      <c r="E703" s="28"/>
      <c r="F703" s="28"/>
      <c r="H703" s="17"/>
      <c r="I703" s="17"/>
      <c r="J703" s="17"/>
      <c r="K703" s="17"/>
      <c r="L703" s="17"/>
      <c r="M703" s="17"/>
      <c r="Y703" s="4" t="s">
        <v>177</v>
      </c>
      <c r="Z703" s="4" t="s">
        <v>237</v>
      </c>
      <c r="AA703" s="4"/>
    </row>
    <row r="704" spans="4:27" ht="15">
      <c r="D704" s="28"/>
      <c r="E704" s="28"/>
      <c r="F704" s="28"/>
      <c r="H704" s="17"/>
      <c r="I704" s="17"/>
      <c r="J704" s="17"/>
      <c r="K704" s="17"/>
      <c r="L704" s="17"/>
      <c r="M704" s="17"/>
      <c r="Y704" s="4" t="s">
        <v>177</v>
      </c>
      <c r="Z704" s="4" t="s">
        <v>237</v>
      </c>
      <c r="AA704" s="4"/>
    </row>
    <row r="705" spans="4:27" ht="15">
      <c r="D705" s="28"/>
      <c r="E705" s="28"/>
      <c r="F705" s="28"/>
      <c r="H705" s="17"/>
      <c r="I705" s="17"/>
      <c r="J705" s="17"/>
      <c r="K705" s="17"/>
      <c r="L705" s="17"/>
      <c r="M705" s="17"/>
      <c r="Y705" s="4" t="s">
        <v>177</v>
      </c>
      <c r="Z705" s="4" t="s">
        <v>237</v>
      </c>
      <c r="AA705" s="4"/>
    </row>
    <row r="706" spans="4:27" ht="15">
      <c r="D706" s="28"/>
      <c r="E706" s="28"/>
      <c r="F706" s="28"/>
      <c r="H706" s="17"/>
      <c r="I706" s="17"/>
      <c r="J706" s="17"/>
      <c r="K706" s="17"/>
      <c r="L706" s="17"/>
      <c r="M706" s="17"/>
      <c r="Y706" s="4" t="s">
        <v>177</v>
      </c>
      <c r="Z706" s="4" t="s">
        <v>237</v>
      </c>
      <c r="AA706" s="4"/>
    </row>
    <row r="707" spans="4:27" ht="15">
      <c r="D707" s="28"/>
      <c r="E707" s="28"/>
      <c r="F707" s="28"/>
      <c r="H707" s="17"/>
      <c r="I707" s="17"/>
      <c r="J707" s="17"/>
      <c r="K707" s="17"/>
      <c r="L707" s="17"/>
      <c r="M707" s="17"/>
      <c r="Y707" s="4" t="s">
        <v>177</v>
      </c>
      <c r="Z707" s="4" t="s">
        <v>238</v>
      </c>
      <c r="AA707" s="4"/>
    </row>
    <row r="708" spans="4:27" ht="15">
      <c r="D708" s="28"/>
      <c r="E708" s="28"/>
      <c r="F708" s="28"/>
      <c r="H708" s="17"/>
      <c r="I708" s="17"/>
      <c r="J708" s="17"/>
      <c r="K708" s="17"/>
      <c r="L708" s="17"/>
      <c r="M708" s="17"/>
      <c r="Y708" s="4" t="s">
        <v>177</v>
      </c>
      <c r="Z708" s="4" t="s">
        <v>238</v>
      </c>
      <c r="AA708" s="4"/>
    </row>
    <row r="709" spans="4:27" ht="15">
      <c r="D709" s="28"/>
      <c r="E709" s="28"/>
      <c r="F709" s="28"/>
      <c r="H709" s="17"/>
      <c r="I709" s="17"/>
      <c r="J709" s="17"/>
      <c r="K709" s="17"/>
      <c r="L709" s="17"/>
      <c r="M709" s="17"/>
      <c r="Y709" s="4" t="s">
        <v>177</v>
      </c>
      <c r="Z709" s="4" t="s">
        <v>238</v>
      </c>
      <c r="AA709" s="4"/>
    </row>
    <row r="710" spans="4:27" ht="15">
      <c r="D710" s="28"/>
      <c r="E710" s="28"/>
      <c r="F710" s="28"/>
      <c r="H710" s="17"/>
      <c r="I710" s="17"/>
      <c r="J710" s="17"/>
      <c r="K710" s="17"/>
      <c r="L710" s="17"/>
      <c r="M710" s="17"/>
      <c r="Y710" s="4" t="s">
        <v>177</v>
      </c>
      <c r="Z710" s="4" t="s">
        <v>239</v>
      </c>
      <c r="AA710" s="4"/>
    </row>
    <row r="711" spans="4:27" ht="15">
      <c r="D711" s="28"/>
      <c r="E711" s="28"/>
      <c r="F711" s="28"/>
      <c r="H711" s="17"/>
      <c r="I711" s="17"/>
      <c r="J711" s="17"/>
      <c r="K711" s="17"/>
      <c r="L711" s="17"/>
      <c r="M711" s="17"/>
      <c r="Y711" s="4" t="s">
        <v>177</v>
      </c>
      <c r="Z711" s="4" t="s">
        <v>240</v>
      </c>
      <c r="AA711" s="4"/>
    </row>
    <row r="712" spans="4:27" ht="15">
      <c r="D712" s="28"/>
      <c r="E712" s="28"/>
      <c r="F712" s="28"/>
      <c r="H712" s="17"/>
      <c r="I712" s="17"/>
      <c r="J712" s="17"/>
      <c r="K712" s="17"/>
      <c r="L712" s="17"/>
      <c r="M712" s="17"/>
      <c r="Y712" s="4" t="s">
        <v>177</v>
      </c>
      <c r="Z712" s="4" t="s">
        <v>241</v>
      </c>
      <c r="AA712" s="4"/>
    </row>
    <row r="713" spans="4:27" ht="15">
      <c r="D713" s="28"/>
      <c r="E713" s="28"/>
      <c r="F713" s="28"/>
      <c r="H713" s="17"/>
      <c r="I713" s="17"/>
      <c r="J713" s="17"/>
      <c r="K713" s="17"/>
      <c r="L713" s="17"/>
      <c r="M713" s="17"/>
      <c r="Y713" s="4" t="s">
        <v>177</v>
      </c>
      <c r="Z713" s="4" t="s">
        <v>241</v>
      </c>
      <c r="AA713" s="4"/>
    </row>
    <row r="714" spans="4:27" ht="15">
      <c r="D714" s="28"/>
      <c r="E714" s="28"/>
      <c r="F714" s="28"/>
      <c r="H714" s="17"/>
      <c r="I714" s="17"/>
      <c r="J714" s="17"/>
      <c r="K714" s="17"/>
      <c r="L714" s="17"/>
      <c r="M714" s="17"/>
      <c r="Y714" s="4" t="s">
        <v>177</v>
      </c>
      <c r="Z714" s="4" t="s">
        <v>241</v>
      </c>
      <c r="AA714" s="4"/>
    </row>
    <row r="715" spans="4:27" ht="15">
      <c r="D715" s="28"/>
      <c r="E715" s="28"/>
      <c r="F715" s="28"/>
      <c r="H715" s="17"/>
      <c r="I715" s="17"/>
      <c r="J715" s="17"/>
      <c r="K715" s="17"/>
      <c r="L715" s="17"/>
      <c r="M715" s="17"/>
      <c r="Y715" s="4" t="s">
        <v>177</v>
      </c>
      <c r="Z715" s="4" t="s">
        <v>241</v>
      </c>
      <c r="AA715" s="4"/>
    </row>
    <row r="716" spans="4:27" ht="15">
      <c r="D716" s="28"/>
      <c r="E716" s="28"/>
      <c r="F716" s="28"/>
      <c r="H716" s="17"/>
      <c r="I716" s="17"/>
      <c r="J716" s="17"/>
      <c r="K716" s="17"/>
      <c r="L716" s="17"/>
      <c r="M716" s="17"/>
      <c r="Y716" s="4" t="s">
        <v>177</v>
      </c>
      <c r="Z716" s="4" t="s">
        <v>241</v>
      </c>
      <c r="AA716" s="4"/>
    </row>
    <row r="717" spans="4:27" ht="15">
      <c r="D717" s="28"/>
      <c r="E717" s="28"/>
      <c r="F717" s="28"/>
      <c r="H717" s="17"/>
      <c r="I717" s="17"/>
      <c r="J717" s="17"/>
      <c r="K717" s="17"/>
      <c r="L717" s="17"/>
      <c r="M717" s="17"/>
      <c r="Y717" s="4" t="s">
        <v>177</v>
      </c>
      <c r="Z717" s="4" t="s">
        <v>241</v>
      </c>
      <c r="AA717" s="4"/>
    </row>
    <row r="718" spans="4:27" ht="15">
      <c r="D718" s="28"/>
      <c r="E718" s="28"/>
      <c r="F718" s="28"/>
      <c r="H718" s="17"/>
      <c r="I718" s="17"/>
      <c r="J718" s="17"/>
      <c r="K718" s="17" t="s">
        <v>137</v>
      </c>
      <c r="L718" s="17"/>
      <c r="M718" s="17"/>
      <c r="Y718" s="4" t="s">
        <v>177</v>
      </c>
      <c r="Z718" s="4" t="s">
        <v>241</v>
      </c>
      <c r="AA718" s="4"/>
    </row>
    <row r="719" spans="4:27" ht="15">
      <c r="D719" s="28"/>
      <c r="E719" s="28"/>
      <c r="F719" s="28"/>
      <c r="H719" s="17"/>
      <c r="I719" s="17"/>
      <c r="J719" s="17"/>
      <c r="K719" s="17"/>
      <c r="L719" s="17"/>
      <c r="M719" s="17"/>
      <c r="Y719" s="4" t="s">
        <v>177</v>
      </c>
      <c r="Z719" s="4" t="s">
        <v>241</v>
      </c>
      <c r="AA719" s="4"/>
    </row>
    <row r="720" spans="4:27" ht="15">
      <c r="D720" s="28"/>
      <c r="E720" s="28"/>
      <c r="F720" s="28"/>
      <c r="H720" s="17"/>
      <c r="I720" s="17"/>
      <c r="J720" s="17"/>
      <c r="K720" s="17"/>
      <c r="L720" s="17"/>
      <c r="M720" s="17"/>
      <c r="Y720" s="4" t="s">
        <v>177</v>
      </c>
      <c r="Z720" s="4" t="s">
        <v>241</v>
      </c>
      <c r="AA720" s="4"/>
    </row>
    <row r="721" spans="4:27" ht="15">
      <c r="D721" s="28"/>
      <c r="E721" s="28"/>
      <c r="F721" s="28"/>
      <c r="H721" s="17"/>
      <c r="I721" s="17"/>
      <c r="J721" s="17"/>
      <c r="K721" s="17"/>
      <c r="L721" s="17"/>
      <c r="M721" s="17"/>
      <c r="Y721" s="4" t="s">
        <v>177</v>
      </c>
      <c r="Z721" s="4" t="s">
        <v>241</v>
      </c>
      <c r="AA721" s="4"/>
    </row>
    <row r="722" spans="4:27" ht="15">
      <c r="D722" s="28"/>
      <c r="E722" s="28"/>
      <c r="F722" s="28"/>
      <c r="H722" s="17"/>
      <c r="I722" s="17"/>
      <c r="J722" s="17"/>
      <c r="K722" s="17"/>
      <c r="L722" s="17"/>
      <c r="M722" s="17"/>
      <c r="Y722" s="4" t="s">
        <v>177</v>
      </c>
      <c r="Z722" s="4" t="s">
        <v>241</v>
      </c>
      <c r="AA722" s="4"/>
    </row>
    <row r="723" spans="4:27" ht="15">
      <c r="D723" s="28"/>
      <c r="E723" s="28"/>
      <c r="F723" s="28"/>
      <c r="H723" s="17"/>
      <c r="I723" s="17"/>
      <c r="J723" s="17"/>
      <c r="K723" s="17"/>
      <c r="L723" s="17"/>
      <c r="M723" s="17"/>
      <c r="Y723" s="4" t="s">
        <v>177</v>
      </c>
      <c r="Z723" s="4" t="s">
        <v>241</v>
      </c>
      <c r="AA723" s="4"/>
    </row>
    <row r="724" spans="4:27" ht="15">
      <c r="D724" s="28"/>
      <c r="E724" s="28"/>
      <c r="F724" s="28"/>
      <c r="H724" s="17"/>
      <c r="I724" s="17"/>
      <c r="J724" s="17"/>
      <c r="K724" s="17"/>
      <c r="L724" s="17"/>
      <c r="M724" s="17"/>
      <c r="Y724" s="4" t="s">
        <v>177</v>
      </c>
      <c r="Z724" s="4" t="s">
        <v>241</v>
      </c>
      <c r="AA724" s="4"/>
    </row>
    <row r="725" spans="4:27" ht="15">
      <c r="D725" s="28"/>
      <c r="E725" s="28"/>
      <c r="F725" s="28"/>
      <c r="H725" s="17"/>
      <c r="I725" s="17"/>
      <c r="J725" s="17"/>
      <c r="K725" s="17"/>
      <c r="L725" s="17"/>
      <c r="M725" s="17"/>
      <c r="Y725" s="4" t="s">
        <v>177</v>
      </c>
      <c r="Z725" s="4" t="s">
        <v>241</v>
      </c>
      <c r="AA725" s="4"/>
    </row>
    <row r="726" spans="4:27" ht="15">
      <c r="D726" s="28"/>
      <c r="E726" s="28"/>
      <c r="F726" s="28"/>
      <c r="H726" s="17"/>
      <c r="I726" s="17"/>
      <c r="J726" s="17"/>
      <c r="K726" s="17"/>
      <c r="L726" s="17"/>
      <c r="M726" s="17"/>
      <c r="Y726" s="4" t="s">
        <v>177</v>
      </c>
      <c r="Z726" s="4" t="s">
        <v>241</v>
      </c>
      <c r="AA726" s="4"/>
    </row>
    <row r="727" spans="4:27" ht="15">
      <c r="D727" s="28"/>
      <c r="E727" s="28"/>
      <c r="F727" s="28"/>
      <c r="H727" s="17"/>
      <c r="I727" s="17"/>
      <c r="J727" s="17"/>
      <c r="K727" s="17"/>
      <c r="L727" s="17"/>
      <c r="M727" s="17"/>
      <c r="Y727" s="4" t="s">
        <v>177</v>
      </c>
      <c r="Z727" s="4" t="s">
        <v>241</v>
      </c>
      <c r="AA727" s="4"/>
    </row>
    <row r="728" spans="4:27" ht="15">
      <c r="D728" s="28"/>
      <c r="E728" s="28"/>
      <c r="F728" s="28"/>
      <c r="H728" s="17"/>
      <c r="I728" s="17"/>
      <c r="J728" s="17"/>
      <c r="K728" s="17"/>
      <c r="L728" s="17"/>
      <c r="M728" s="17"/>
      <c r="Y728" s="4" t="s">
        <v>177</v>
      </c>
      <c r="Z728" s="4" t="s">
        <v>242</v>
      </c>
      <c r="AA728" s="4"/>
    </row>
    <row r="729" spans="4:27" ht="15">
      <c r="D729" s="28"/>
      <c r="E729" s="28"/>
      <c r="F729" s="28"/>
      <c r="H729" s="17"/>
      <c r="I729" s="17"/>
      <c r="J729" s="17"/>
      <c r="K729" s="17"/>
      <c r="L729" s="17"/>
      <c r="M729" s="17"/>
      <c r="Y729" s="4" t="s">
        <v>6</v>
      </c>
      <c r="Z729" s="4">
        <v>12869</v>
      </c>
      <c r="AA729" s="4"/>
    </row>
    <row r="730" spans="4:27" ht="15">
      <c r="D730" s="28"/>
      <c r="E730" s="28"/>
      <c r="F730" s="28"/>
      <c r="H730" s="17"/>
      <c r="I730" s="17"/>
      <c r="J730" s="17"/>
      <c r="K730" s="17"/>
      <c r="L730" s="17"/>
      <c r="M730" s="17"/>
      <c r="Y730" s="4" t="s">
        <v>6</v>
      </c>
      <c r="Z730" s="4">
        <v>1298</v>
      </c>
      <c r="AA730" s="4"/>
    </row>
    <row r="731" spans="4:27" ht="15">
      <c r="D731" s="28"/>
      <c r="E731" s="28"/>
      <c r="F731" s="28"/>
      <c r="H731" s="17"/>
      <c r="I731" s="17"/>
      <c r="J731" s="17"/>
      <c r="K731" s="17"/>
      <c r="L731" s="17"/>
      <c r="M731" s="17"/>
      <c r="Y731" s="4" t="s">
        <v>6</v>
      </c>
      <c r="Z731" s="4">
        <v>16085</v>
      </c>
      <c r="AA731" s="4"/>
    </row>
    <row r="732" spans="4:27" ht="15">
      <c r="D732" s="28"/>
      <c r="E732" s="28"/>
      <c r="F732" s="28"/>
      <c r="H732" s="17"/>
      <c r="I732" s="17"/>
      <c r="J732" s="17"/>
      <c r="K732" s="17"/>
      <c r="L732" s="17"/>
      <c r="M732" s="17"/>
      <c r="Y732" s="4" t="s">
        <v>6</v>
      </c>
      <c r="Z732" s="4">
        <v>21143</v>
      </c>
      <c r="AA732" s="4"/>
    </row>
    <row r="733" spans="4:27" ht="15">
      <c r="D733" s="28"/>
      <c r="E733" s="28"/>
      <c r="F733" s="28"/>
      <c r="H733" s="17"/>
      <c r="I733" s="17"/>
      <c r="J733" s="17"/>
      <c r="K733" s="17"/>
      <c r="L733" s="17"/>
      <c r="M733" s="17"/>
      <c r="Y733" s="4" t="s">
        <v>6</v>
      </c>
      <c r="Z733" s="4">
        <v>21143</v>
      </c>
      <c r="AA733" s="4"/>
    </row>
    <row r="734" spans="4:27" ht="15">
      <c r="D734" s="28"/>
      <c r="E734" s="28"/>
      <c r="F734" s="28"/>
      <c r="H734" s="17"/>
      <c r="I734" s="17"/>
      <c r="J734" s="17"/>
      <c r="K734" s="17"/>
      <c r="L734" s="17"/>
      <c r="M734" s="17"/>
      <c r="Y734" s="4" t="s">
        <v>6</v>
      </c>
      <c r="Z734" s="4">
        <v>29709</v>
      </c>
      <c r="AA734" s="4"/>
    </row>
    <row r="735" spans="4:27" ht="15">
      <c r="D735" s="28"/>
      <c r="E735" s="28"/>
      <c r="F735" s="28"/>
      <c r="H735" s="17"/>
      <c r="I735" s="17"/>
      <c r="J735" s="17"/>
      <c r="K735" s="17"/>
      <c r="L735" s="17"/>
      <c r="M735" s="17"/>
      <c r="Y735" s="4" t="s">
        <v>6</v>
      </c>
      <c r="Z735" s="4">
        <v>3010</v>
      </c>
      <c r="AA735" s="4"/>
    </row>
    <row r="736" spans="4:27" ht="15">
      <c r="D736" s="28"/>
      <c r="E736" s="28"/>
      <c r="F736" s="28"/>
      <c r="H736" s="17"/>
      <c r="I736" s="17"/>
      <c r="J736" s="17"/>
      <c r="K736" s="17"/>
      <c r="L736" s="17"/>
      <c r="M736" s="17"/>
      <c r="Y736" s="4" t="s">
        <v>6</v>
      </c>
      <c r="Z736" s="4">
        <v>32554</v>
      </c>
      <c r="AA736" s="4"/>
    </row>
    <row r="737" spans="4:27" ht="15">
      <c r="D737" s="28"/>
      <c r="E737" s="28"/>
      <c r="F737" s="28"/>
      <c r="H737" s="17"/>
      <c r="I737" s="17"/>
      <c r="J737" s="17"/>
      <c r="K737" s="17"/>
      <c r="L737" s="17"/>
      <c r="M737" s="17"/>
      <c r="Y737" s="4" t="s">
        <v>6</v>
      </c>
      <c r="Z737" s="4">
        <v>33601</v>
      </c>
      <c r="AA737" s="4"/>
    </row>
    <row r="738" spans="4:27" ht="15">
      <c r="D738" s="28"/>
      <c r="E738" s="28"/>
      <c r="F738" s="28"/>
      <c r="H738" s="17"/>
      <c r="I738" s="17"/>
      <c r="J738" s="17"/>
      <c r="K738" s="17"/>
      <c r="L738" s="17"/>
      <c r="M738" s="17"/>
      <c r="Y738" s="4" t="s">
        <v>6</v>
      </c>
      <c r="Z738" s="4">
        <v>33602</v>
      </c>
      <c r="AA738" s="4"/>
    </row>
    <row r="739" spans="4:27" ht="15">
      <c r="D739" s="28"/>
      <c r="E739" s="28"/>
      <c r="F739" s="28"/>
      <c r="H739" s="17"/>
      <c r="I739" s="17"/>
      <c r="J739" s="17"/>
      <c r="K739" s="17"/>
      <c r="L739" s="17"/>
      <c r="M739" s="17"/>
      <c r="Y739" s="4" t="s">
        <v>6</v>
      </c>
      <c r="Z739" s="4">
        <v>36177</v>
      </c>
      <c r="AA739" s="4"/>
    </row>
    <row r="740" spans="4:27" ht="15">
      <c r="D740" s="28"/>
      <c r="E740" s="28"/>
      <c r="F740" s="28"/>
      <c r="H740" s="17"/>
      <c r="I740" s="17"/>
      <c r="J740" s="17"/>
      <c r="K740" s="17"/>
      <c r="L740" s="17"/>
      <c r="M740" s="17"/>
      <c r="Y740" s="4" t="s">
        <v>6</v>
      </c>
      <c r="Z740" s="4">
        <v>36390</v>
      </c>
      <c r="AA740" s="4"/>
    </row>
    <row r="741" spans="4:27" ht="15">
      <c r="D741" s="28"/>
      <c r="E741" s="28"/>
      <c r="F741" s="28"/>
      <c r="H741" s="17"/>
      <c r="I741" s="17"/>
      <c r="J741" s="17"/>
      <c r="K741" s="17"/>
      <c r="L741" s="17"/>
      <c r="M741" s="17"/>
      <c r="Y741" s="4" t="s">
        <v>6</v>
      </c>
      <c r="Z741" s="4">
        <v>3650</v>
      </c>
      <c r="AA741" s="4"/>
    </row>
    <row r="742" spans="4:27" ht="15">
      <c r="D742" s="28"/>
      <c r="E742" s="28"/>
      <c r="F742" s="28"/>
      <c r="H742" s="17"/>
      <c r="I742" s="17"/>
      <c r="J742" s="17"/>
      <c r="K742" s="17"/>
      <c r="L742" s="17"/>
      <c r="M742" s="17"/>
      <c r="Y742" s="4" t="s">
        <v>6</v>
      </c>
      <c r="Z742" s="4">
        <v>36638</v>
      </c>
      <c r="AA742" s="4"/>
    </row>
    <row r="743" spans="4:27" ht="15">
      <c r="D743" s="28"/>
      <c r="E743" s="28"/>
      <c r="F743" s="28"/>
      <c r="H743" s="17"/>
      <c r="I743" s="17"/>
      <c r="J743" s="17"/>
      <c r="K743" s="17"/>
      <c r="L743" s="17"/>
      <c r="M743" s="17"/>
      <c r="Y743" s="4" t="s">
        <v>6</v>
      </c>
      <c r="Z743" s="4">
        <v>37056</v>
      </c>
      <c r="AA743" s="4"/>
    </row>
    <row r="744" spans="4:27" ht="15">
      <c r="D744" s="28"/>
      <c r="E744" s="28"/>
      <c r="F744" s="28"/>
      <c r="H744" s="17"/>
      <c r="I744" s="17"/>
      <c r="J744" s="17"/>
      <c r="K744" s="17"/>
      <c r="L744" s="17"/>
      <c r="M744" s="17"/>
      <c r="Y744" s="4" t="s">
        <v>6</v>
      </c>
      <c r="Z744" s="4">
        <v>51578</v>
      </c>
      <c r="AA744" s="4"/>
    </row>
    <row r="745" spans="4:27" ht="15">
      <c r="D745" s="28"/>
      <c r="E745" s="28"/>
      <c r="F745" s="28"/>
      <c r="H745" s="17"/>
      <c r="I745" s="17"/>
      <c r="J745" s="17"/>
      <c r="K745" s="17"/>
      <c r="L745" s="17"/>
      <c r="M745" s="17"/>
      <c r="Y745" s="4" t="s">
        <v>6</v>
      </c>
      <c r="Z745" s="4">
        <v>519</v>
      </c>
      <c r="AA745" s="4"/>
    </row>
    <row r="746" spans="4:27" ht="15">
      <c r="D746" s="28"/>
      <c r="E746" s="28"/>
      <c r="F746" s="28"/>
      <c r="H746" s="17"/>
      <c r="I746" s="17"/>
      <c r="J746" s="17"/>
      <c r="K746" s="17"/>
      <c r="L746" s="17"/>
      <c r="M746" s="17"/>
      <c r="Y746" s="4" t="s">
        <v>6</v>
      </c>
      <c r="Z746" s="4">
        <v>5361</v>
      </c>
      <c r="AA746" s="4"/>
    </row>
    <row r="747" spans="4:27" ht="15">
      <c r="D747" s="28"/>
      <c r="E747" s="28"/>
      <c r="F747" s="28"/>
      <c r="H747" s="17"/>
      <c r="I747" s="17"/>
      <c r="J747" s="17"/>
      <c r="K747" s="17"/>
      <c r="L747" s="17"/>
      <c r="M747" s="17"/>
      <c r="Y747" s="4" t="s">
        <v>6</v>
      </c>
      <c r="Z747" s="4">
        <v>5435</v>
      </c>
      <c r="AA747" s="4"/>
    </row>
    <row r="748" spans="4:27" ht="15">
      <c r="D748" s="28"/>
      <c r="E748" s="28"/>
      <c r="F748" s="28"/>
      <c r="H748" s="17"/>
      <c r="I748" s="17"/>
      <c r="J748" s="17"/>
      <c r="K748" s="17"/>
      <c r="L748" s="17"/>
      <c r="M748" s="17"/>
      <c r="Y748" s="4" t="s">
        <v>6</v>
      </c>
      <c r="Z748" s="4">
        <v>554</v>
      </c>
      <c r="AA748" s="4"/>
    </row>
    <row r="749" spans="4:27" ht="15">
      <c r="D749" s="28"/>
      <c r="E749" s="28"/>
      <c r="F749" s="28"/>
      <c r="H749" s="17"/>
      <c r="I749" s="17"/>
      <c r="J749" s="17"/>
      <c r="K749" s="17"/>
      <c r="L749" s="17"/>
      <c r="M749" s="17"/>
      <c r="Y749" s="4" t="s">
        <v>6</v>
      </c>
      <c r="Z749" s="4">
        <v>5701</v>
      </c>
      <c r="AA749" s="4"/>
    </row>
    <row r="750" spans="4:27" ht="15">
      <c r="D750" s="28"/>
      <c r="E750" s="28"/>
      <c r="F750" s="28"/>
      <c r="H750" s="17"/>
      <c r="I750" s="17"/>
      <c r="J750" s="17"/>
      <c r="K750" s="17"/>
      <c r="L750" s="17"/>
      <c r="M750" s="17"/>
      <c r="Y750" s="4" t="s">
        <v>6</v>
      </c>
      <c r="Z750" s="4">
        <v>5748</v>
      </c>
      <c r="AA750" s="4"/>
    </row>
    <row r="751" spans="4:27" ht="15">
      <c r="D751" s="28"/>
      <c r="E751" s="28"/>
      <c r="F751" s="28"/>
      <c r="H751" s="17"/>
      <c r="I751" s="17"/>
      <c r="J751" s="17"/>
      <c r="K751" s="17"/>
      <c r="L751" s="17"/>
      <c r="M751" s="17"/>
      <c r="Y751" s="4" t="s">
        <v>6</v>
      </c>
      <c r="Z751" s="4">
        <v>576</v>
      </c>
      <c r="AA751" s="4"/>
    </row>
    <row r="752" spans="4:27" ht="15">
      <c r="D752" s="28"/>
      <c r="E752" s="28"/>
      <c r="F752" s="28"/>
      <c r="H752" s="17"/>
      <c r="I752" s="17"/>
      <c r="J752" s="17"/>
      <c r="K752" s="17" t="s">
        <v>165</v>
      </c>
      <c r="L752" s="17" t="s">
        <v>220</v>
      </c>
      <c r="M752" s="17"/>
      <c r="Y752" s="4" t="s">
        <v>6</v>
      </c>
      <c r="Z752" s="4">
        <v>581</v>
      </c>
      <c r="AA752" s="4"/>
    </row>
    <row r="753" spans="4:27" ht="15">
      <c r="D753" s="28"/>
      <c r="E753" s="28"/>
      <c r="F753" s="28"/>
      <c r="H753" s="17"/>
      <c r="I753" s="17"/>
      <c r="J753" s="17"/>
      <c r="K753" s="17"/>
      <c r="L753" s="17"/>
      <c r="M753" s="17"/>
      <c r="Y753" s="4" t="s">
        <v>6</v>
      </c>
      <c r="Z753" s="4">
        <v>59408</v>
      </c>
      <c r="AA753" s="4"/>
    </row>
    <row r="754" spans="4:27" ht="15">
      <c r="D754" s="28"/>
      <c r="E754" s="28"/>
      <c r="F754" s="28"/>
      <c r="H754" s="17"/>
      <c r="I754" s="17"/>
      <c r="J754" s="17"/>
      <c r="K754" s="17"/>
      <c r="L754" s="17"/>
      <c r="M754" s="17"/>
      <c r="Y754" s="4" t="s">
        <v>6</v>
      </c>
      <c r="Z754" s="4">
        <v>598</v>
      </c>
      <c r="AA754" s="4"/>
    </row>
    <row r="755" spans="4:27" ht="15">
      <c r="D755" s="28"/>
      <c r="E755" s="28"/>
      <c r="F755" s="28"/>
      <c r="H755" s="17"/>
      <c r="I755" s="17"/>
      <c r="J755" s="17"/>
      <c r="K755" s="17"/>
      <c r="L755" s="17"/>
      <c r="M755" s="17"/>
      <c r="Y755" s="4" t="s">
        <v>6</v>
      </c>
      <c r="Z755" s="4">
        <v>60191</v>
      </c>
      <c r="AA755" s="4"/>
    </row>
    <row r="756" spans="4:27" ht="15">
      <c r="D756" s="28"/>
      <c r="E756" s="28"/>
      <c r="F756" s="28"/>
      <c r="H756" s="17"/>
      <c r="I756" s="17"/>
      <c r="J756" s="17"/>
      <c r="K756" s="17"/>
      <c r="L756" s="17"/>
      <c r="M756" s="17"/>
      <c r="Y756" s="4" t="s">
        <v>6</v>
      </c>
      <c r="Z756" s="4">
        <v>60191</v>
      </c>
      <c r="AA756" s="4"/>
    </row>
    <row r="757" spans="4:27" ht="15">
      <c r="D757" s="28"/>
      <c r="E757" s="28"/>
      <c r="F757" s="28"/>
      <c r="H757" s="17"/>
      <c r="I757" s="17"/>
      <c r="J757" s="17"/>
      <c r="K757" s="17"/>
      <c r="L757" s="17"/>
      <c r="M757" s="17"/>
      <c r="Y757" s="4" t="s">
        <v>6</v>
      </c>
      <c r="Z757" s="4">
        <v>60200</v>
      </c>
      <c r="AA757" s="4"/>
    </row>
    <row r="758" spans="4:27" ht="15">
      <c r="D758" s="28"/>
      <c r="E758" s="28"/>
      <c r="F758" s="28"/>
      <c r="H758" s="17"/>
      <c r="I758" s="17"/>
      <c r="J758" s="17"/>
      <c r="K758" s="17"/>
      <c r="L758" s="17"/>
      <c r="M758" s="17"/>
      <c r="Y758" s="4" t="s">
        <v>6</v>
      </c>
      <c r="Z758" s="4">
        <v>60535</v>
      </c>
      <c r="AA758" s="4"/>
    </row>
    <row r="759" spans="4:27" ht="15">
      <c r="D759" s="28"/>
      <c r="E759" s="28"/>
      <c r="F759" s="28"/>
      <c r="H759" s="17"/>
      <c r="I759" s="17"/>
      <c r="J759" s="17"/>
      <c r="K759" s="17"/>
      <c r="L759" s="17"/>
      <c r="M759" s="17"/>
      <c r="Y759" s="4" t="s">
        <v>6</v>
      </c>
      <c r="Z759" s="4">
        <v>610</v>
      </c>
      <c r="AA759" s="4"/>
    </row>
    <row r="760" spans="4:27" ht="15">
      <c r="D760" s="28"/>
      <c r="E760" s="28"/>
      <c r="F760" s="28"/>
      <c r="H760" s="17"/>
      <c r="I760" s="17"/>
      <c r="J760" s="17"/>
      <c r="K760" s="17"/>
      <c r="L760" s="17"/>
      <c r="M760" s="17"/>
      <c r="Y760" s="4" t="s">
        <v>6</v>
      </c>
      <c r="Z760" s="4">
        <v>64127</v>
      </c>
      <c r="AA760" s="4"/>
    </row>
    <row r="761" spans="4:27" ht="15">
      <c r="D761" s="28"/>
      <c r="E761" s="28"/>
      <c r="F761" s="28"/>
      <c r="H761" s="17"/>
      <c r="I761" s="17"/>
      <c r="J761" s="17"/>
      <c r="K761" s="17"/>
      <c r="L761" s="17"/>
      <c r="M761" s="17"/>
      <c r="Y761" s="4" t="s">
        <v>6</v>
      </c>
      <c r="Z761" s="4">
        <v>78534</v>
      </c>
      <c r="AA761" s="4"/>
    </row>
    <row r="762" spans="4:27" ht="15">
      <c r="D762" s="28"/>
      <c r="E762" s="28"/>
      <c r="F762" s="28"/>
      <c r="H762" s="17"/>
      <c r="I762" s="17"/>
      <c r="J762" s="17"/>
      <c r="K762" s="17"/>
      <c r="L762" s="17"/>
      <c r="M762" s="17"/>
      <c r="Y762" s="4" t="s">
        <v>6</v>
      </c>
      <c r="Z762" s="4">
        <v>79220</v>
      </c>
      <c r="AA762" s="4"/>
    </row>
    <row r="763" spans="4:27" ht="15">
      <c r="D763" s="28"/>
      <c r="E763" s="28"/>
      <c r="F763" s="28"/>
      <c r="H763" s="17"/>
      <c r="I763" s="17"/>
      <c r="J763" s="17"/>
      <c r="K763" s="17"/>
      <c r="L763" s="17"/>
      <c r="M763" s="17"/>
      <c r="Y763" s="4" t="s">
        <v>6</v>
      </c>
      <c r="Z763" s="4">
        <v>79220</v>
      </c>
      <c r="AA763" s="4"/>
    </row>
    <row r="764" spans="4:27" ht="15">
      <c r="D764" s="28"/>
      <c r="E764" s="28"/>
      <c r="F764" s="28"/>
      <c r="H764" s="17"/>
      <c r="I764" s="17"/>
      <c r="J764" s="17"/>
      <c r="K764" s="17"/>
      <c r="L764" s="17"/>
      <c r="M764" s="17"/>
      <c r="Y764" s="4" t="s">
        <v>6</v>
      </c>
      <c r="Z764" s="4">
        <v>80157</v>
      </c>
      <c r="AA764" s="4"/>
    </row>
    <row r="765" spans="4:27" ht="15">
      <c r="D765" s="28"/>
      <c r="E765" s="28"/>
      <c r="F765" s="28"/>
      <c r="H765" s="17"/>
      <c r="I765" s="17"/>
      <c r="J765" s="17"/>
      <c r="K765" s="17"/>
      <c r="L765" s="17"/>
      <c r="M765" s="17"/>
      <c r="Y765" s="4" t="s">
        <v>6</v>
      </c>
      <c r="Z765" s="4">
        <v>80980</v>
      </c>
      <c r="AA765" s="4"/>
    </row>
    <row r="766" spans="4:27" ht="15">
      <c r="D766" s="28"/>
      <c r="E766" s="28"/>
      <c r="F766" s="28"/>
      <c r="H766" s="17"/>
      <c r="I766" s="17"/>
      <c r="J766" s="17"/>
      <c r="K766" s="17" t="s">
        <v>137</v>
      </c>
      <c r="L766" s="17"/>
      <c r="M766" s="17"/>
      <c r="Y766" s="4" t="s">
        <v>6</v>
      </c>
      <c r="Z766" s="4">
        <v>80981</v>
      </c>
      <c r="AA766" s="4"/>
    </row>
    <row r="767" spans="4:27" ht="15">
      <c r="D767" s="28"/>
      <c r="E767" s="28"/>
      <c r="F767" s="28"/>
      <c r="H767" s="17"/>
      <c r="I767" s="17"/>
      <c r="J767" s="17"/>
      <c r="K767" s="17"/>
      <c r="L767" s="17"/>
      <c r="M767" s="17"/>
      <c r="Y767" s="4" t="s">
        <v>6</v>
      </c>
      <c r="Z767" s="4">
        <v>81006</v>
      </c>
      <c r="AA767" s="4"/>
    </row>
    <row r="768" spans="4:27" ht="15">
      <c r="D768" s="28"/>
      <c r="E768" s="28"/>
      <c r="F768" s="28"/>
      <c r="H768" s="17"/>
      <c r="I768" s="17"/>
      <c r="J768" s="17"/>
      <c r="K768" s="17"/>
      <c r="L768" s="17"/>
      <c r="M768" s="17"/>
      <c r="Y768" s="4" t="s">
        <v>6</v>
      </c>
      <c r="Z768" s="4">
        <v>826</v>
      </c>
      <c r="AA768" s="4"/>
    </row>
    <row r="769" spans="4:27" ht="15">
      <c r="D769" s="28"/>
      <c r="E769" s="28"/>
      <c r="F769" s="28"/>
      <c r="H769" s="17"/>
      <c r="I769" s="17"/>
      <c r="J769" s="17"/>
      <c r="K769" s="17"/>
      <c r="L769" s="17"/>
      <c r="M769" s="17"/>
      <c r="Y769" s="4" t="s">
        <v>177</v>
      </c>
      <c r="Z769" s="4" t="s">
        <v>186</v>
      </c>
      <c r="AA769" s="4"/>
    </row>
    <row r="770" spans="4:27" ht="15">
      <c r="D770" s="28"/>
      <c r="E770" s="28"/>
      <c r="F770" s="28"/>
      <c r="H770" s="17"/>
      <c r="I770" s="17"/>
      <c r="J770" s="17"/>
      <c r="K770" s="17"/>
      <c r="L770" s="17"/>
      <c r="M770" s="17"/>
      <c r="Y770" s="4" t="s">
        <v>177</v>
      </c>
      <c r="Z770" s="4" t="s">
        <v>195</v>
      </c>
      <c r="AA770" s="4"/>
    </row>
    <row r="771" spans="4:27" ht="15">
      <c r="D771" s="28"/>
      <c r="E771" s="28"/>
      <c r="F771" s="28"/>
      <c r="H771" s="17"/>
      <c r="I771" s="17"/>
      <c r="J771" s="17"/>
      <c r="K771" s="17"/>
      <c r="L771" s="17"/>
      <c r="M771" s="17"/>
      <c r="Y771" s="4" t="s">
        <v>177</v>
      </c>
      <c r="Z771" s="4" t="s">
        <v>195</v>
      </c>
      <c r="AA771" s="4"/>
    </row>
    <row r="772" spans="4:27" ht="15">
      <c r="D772" s="28"/>
      <c r="E772" s="28"/>
      <c r="F772" s="28"/>
      <c r="H772" s="17"/>
      <c r="I772" s="17"/>
      <c r="J772" s="17"/>
      <c r="K772" s="17"/>
      <c r="L772" s="17"/>
      <c r="M772" s="17"/>
      <c r="Y772" s="4" t="s">
        <v>177</v>
      </c>
      <c r="Z772" s="4" t="s">
        <v>196</v>
      </c>
      <c r="AA772" s="4"/>
    </row>
    <row r="773" spans="4:27" ht="15">
      <c r="D773" s="28"/>
      <c r="E773" s="28"/>
      <c r="F773" s="28"/>
      <c r="H773" s="17"/>
      <c r="I773" s="17"/>
      <c r="J773" s="17"/>
      <c r="K773" s="17"/>
      <c r="L773" s="17"/>
      <c r="M773" s="17"/>
      <c r="Y773" s="4" t="s">
        <v>177</v>
      </c>
      <c r="Z773" s="4" t="s">
        <v>243</v>
      </c>
      <c r="AA773" s="4"/>
    </row>
    <row r="774" spans="4:27" ht="15">
      <c r="D774" s="28"/>
      <c r="E774" s="28"/>
      <c r="F774" s="28"/>
      <c r="H774" s="17"/>
      <c r="I774" s="17"/>
      <c r="J774" s="17"/>
      <c r="K774" s="17"/>
      <c r="L774" s="17"/>
      <c r="M774" s="17"/>
      <c r="Y774" s="4" t="s">
        <v>177</v>
      </c>
      <c r="Z774" s="4" t="s">
        <v>243</v>
      </c>
      <c r="AA774" s="4"/>
    </row>
    <row r="775" spans="4:27" ht="15">
      <c r="D775" s="28"/>
      <c r="E775" s="28"/>
      <c r="F775" s="28"/>
      <c r="H775" s="17"/>
      <c r="I775" s="17"/>
      <c r="J775" s="17"/>
      <c r="K775" s="17"/>
      <c r="L775" s="17"/>
      <c r="M775" s="17"/>
      <c r="Y775" s="4" t="s">
        <v>177</v>
      </c>
      <c r="Z775" s="4" t="s">
        <v>243</v>
      </c>
      <c r="AA775" s="4"/>
    </row>
    <row r="776" spans="4:27" ht="15">
      <c r="D776" s="28"/>
      <c r="E776" s="28"/>
      <c r="F776" s="28"/>
      <c r="H776" s="17"/>
      <c r="I776" s="17"/>
      <c r="J776" s="17"/>
      <c r="K776" s="17"/>
      <c r="L776" s="17"/>
      <c r="M776" s="17"/>
      <c r="Y776" s="4" t="s">
        <v>177</v>
      </c>
      <c r="Z776" s="4" t="s">
        <v>244</v>
      </c>
      <c r="AA776" s="4"/>
    </row>
    <row r="777" spans="4:27" ht="15">
      <c r="D777" s="28"/>
      <c r="E777" s="28"/>
      <c r="F777" s="28"/>
      <c r="H777" s="17"/>
      <c r="I777" s="17"/>
      <c r="J777" s="17"/>
      <c r="K777" s="17"/>
      <c r="L777" s="17"/>
      <c r="M777" s="17"/>
      <c r="Y777" s="4" t="s">
        <v>177</v>
      </c>
      <c r="Z777" s="4" t="s">
        <v>244</v>
      </c>
      <c r="AA777" s="4"/>
    </row>
    <row r="778" spans="4:27" ht="15">
      <c r="D778" s="28"/>
      <c r="E778" s="28"/>
      <c r="F778" s="28"/>
      <c r="H778" s="17"/>
      <c r="I778" s="17"/>
      <c r="J778" s="17"/>
      <c r="K778" s="17"/>
      <c r="L778" s="17"/>
      <c r="M778" s="17"/>
      <c r="Y778" s="4" t="s">
        <v>177</v>
      </c>
      <c r="Z778" s="4" t="s">
        <v>244</v>
      </c>
      <c r="AA778" s="4"/>
    </row>
    <row r="779" spans="4:27" ht="15">
      <c r="D779" s="28"/>
      <c r="E779" s="28"/>
      <c r="F779" s="28"/>
      <c r="H779" s="17"/>
      <c r="I779" s="17"/>
      <c r="J779" s="17"/>
      <c r="K779" s="17"/>
      <c r="L779" s="17"/>
      <c r="M779" s="17"/>
      <c r="Y779" s="4" t="s">
        <v>177</v>
      </c>
      <c r="Z779" s="4" t="s">
        <v>245</v>
      </c>
      <c r="AA779" s="4"/>
    </row>
    <row r="780" spans="4:27" ht="15">
      <c r="D780" s="28"/>
      <c r="E780" s="28"/>
      <c r="F780" s="28"/>
      <c r="H780" s="17"/>
      <c r="I780" s="17"/>
      <c r="J780" s="17"/>
      <c r="K780" s="17"/>
      <c r="L780" s="17"/>
      <c r="M780" s="17"/>
      <c r="Y780" s="4" t="s">
        <v>177</v>
      </c>
      <c r="Z780" s="4" t="s">
        <v>245</v>
      </c>
      <c r="AA780" s="4"/>
    </row>
    <row r="781" spans="4:27" ht="15">
      <c r="D781" s="28"/>
      <c r="E781" s="28"/>
      <c r="F781" s="28"/>
      <c r="H781" s="17"/>
      <c r="I781" s="17"/>
      <c r="J781" s="17"/>
      <c r="K781" s="17"/>
      <c r="L781" s="17"/>
      <c r="M781" s="17"/>
      <c r="Y781" s="4" t="s">
        <v>177</v>
      </c>
      <c r="Z781" s="4" t="s">
        <v>246</v>
      </c>
      <c r="AA781" s="4"/>
    </row>
    <row r="782" spans="4:27" ht="15">
      <c r="D782" s="28"/>
      <c r="E782" s="28"/>
      <c r="F782" s="28"/>
      <c r="H782" s="17"/>
      <c r="I782" s="17"/>
      <c r="J782" s="17"/>
      <c r="K782" s="17"/>
      <c r="L782" s="17"/>
      <c r="M782" s="17"/>
      <c r="Y782" s="4" t="s">
        <v>177</v>
      </c>
      <c r="Z782" s="4" t="s">
        <v>246</v>
      </c>
      <c r="AA782" s="4"/>
    </row>
    <row r="783" spans="4:27" ht="15">
      <c r="D783" s="28"/>
      <c r="E783" s="28"/>
      <c r="F783" s="28"/>
      <c r="H783" s="17"/>
      <c r="I783" s="17"/>
      <c r="J783" s="17"/>
      <c r="K783" s="17"/>
      <c r="L783" s="17"/>
      <c r="M783" s="17"/>
      <c r="Y783" s="4" t="s">
        <v>177</v>
      </c>
      <c r="Z783" s="4" t="s">
        <v>197</v>
      </c>
      <c r="AA783" s="4"/>
    </row>
    <row r="784" spans="4:27" ht="15">
      <c r="D784" s="28"/>
      <c r="E784" s="28"/>
      <c r="F784" s="28"/>
      <c r="H784" s="17"/>
      <c r="I784" s="17"/>
      <c r="J784" s="17"/>
      <c r="K784" s="17"/>
      <c r="L784" s="17"/>
      <c r="M784" s="17"/>
      <c r="Y784" s="4" t="s">
        <v>177</v>
      </c>
      <c r="Z784" s="4" t="s">
        <v>197</v>
      </c>
      <c r="AA784" s="4"/>
    </row>
    <row r="785" spans="4:27" ht="15">
      <c r="D785" s="28"/>
      <c r="E785" s="28"/>
      <c r="F785" s="28"/>
      <c r="H785" s="17"/>
      <c r="I785" s="17"/>
      <c r="J785" s="17"/>
      <c r="K785" s="17"/>
      <c r="L785" s="17"/>
      <c r="M785" s="17"/>
      <c r="Y785" s="4" t="s">
        <v>177</v>
      </c>
      <c r="Z785" s="4" t="s">
        <v>247</v>
      </c>
      <c r="AA785" s="4"/>
    </row>
    <row r="786" spans="4:27" ht="15">
      <c r="D786" s="28"/>
      <c r="E786" s="28"/>
      <c r="F786" s="28"/>
      <c r="H786" s="17"/>
      <c r="I786" s="17"/>
      <c r="J786" s="17"/>
      <c r="K786" s="17"/>
      <c r="L786" s="17"/>
      <c r="M786" s="17"/>
      <c r="Y786" s="4" t="s">
        <v>177</v>
      </c>
      <c r="Z786" s="4" t="s">
        <v>247</v>
      </c>
      <c r="AA786" s="4"/>
    </row>
    <row r="787" spans="4:27" ht="15">
      <c r="D787" s="28"/>
      <c r="E787" s="28"/>
      <c r="F787" s="28"/>
      <c r="H787" s="17"/>
      <c r="I787" s="17"/>
      <c r="J787" s="17"/>
      <c r="K787" s="17"/>
      <c r="L787" s="17"/>
      <c r="M787" s="17"/>
      <c r="Y787" s="4" t="s">
        <v>177</v>
      </c>
      <c r="Z787" s="4" t="s">
        <v>198</v>
      </c>
      <c r="AA787" s="4"/>
    </row>
    <row r="788" spans="4:27" ht="15">
      <c r="D788" s="28"/>
      <c r="E788" s="28"/>
      <c r="F788" s="28"/>
      <c r="H788" s="17"/>
      <c r="I788" s="17"/>
      <c r="J788" s="17"/>
      <c r="K788" s="17"/>
      <c r="L788" s="17"/>
      <c r="M788" s="17"/>
      <c r="Y788" s="4" t="s">
        <v>177</v>
      </c>
      <c r="Z788" s="4" t="s">
        <v>198</v>
      </c>
      <c r="AA788" s="4"/>
    </row>
    <row r="789" spans="4:27" ht="15">
      <c r="D789" s="28"/>
      <c r="E789" s="28"/>
      <c r="F789" s="28"/>
      <c r="H789" s="17"/>
      <c r="I789" s="17"/>
      <c r="J789" s="17"/>
      <c r="K789" s="17"/>
      <c r="L789" s="17"/>
      <c r="M789" s="17"/>
      <c r="Y789" s="4" t="s">
        <v>177</v>
      </c>
      <c r="Z789" s="4" t="s">
        <v>198</v>
      </c>
      <c r="AA789" s="4"/>
    </row>
    <row r="790" spans="4:27" ht="15">
      <c r="D790" s="28"/>
      <c r="E790" s="28"/>
      <c r="F790" s="28"/>
      <c r="H790" s="17"/>
      <c r="I790" s="17"/>
      <c r="J790" s="17"/>
      <c r="K790" s="17"/>
      <c r="L790" s="17"/>
      <c r="M790" s="17"/>
      <c r="Y790" s="4" t="s">
        <v>177</v>
      </c>
      <c r="Z790" s="4" t="s">
        <v>199</v>
      </c>
      <c r="AA790" s="4"/>
    </row>
    <row r="791" spans="4:27" ht="15">
      <c r="D791" s="28"/>
      <c r="E791" s="28"/>
      <c r="F791" s="28"/>
      <c r="H791" s="17"/>
      <c r="I791" s="17"/>
      <c r="J791" s="17"/>
      <c r="K791" s="17"/>
      <c r="L791" s="17"/>
      <c r="M791" s="17"/>
      <c r="Y791" s="4" t="s">
        <v>177</v>
      </c>
      <c r="Z791" s="4" t="s">
        <v>199</v>
      </c>
      <c r="AA791" s="4"/>
    </row>
    <row r="792" spans="4:27" ht="15">
      <c r="D792" s="28"/>
      <c r="E792" s="28"/>
      <c r="F792" s="28"/>
      <c r="H792" s="17"/>
      <c r="I792" s="17"/>
      <c r="J792" s="17"/>
      <c r="K792" s="17"/>
      <c r="L792" s="17"/>
      <c r="M792" s="17"/>
      <c r="Y792" s="4" t="s">
        <v>177</v>
      </c>
      <c r="Z792" s="4" t="s">
        <v>200</v>
      </c>
      <c r="AA792" s="4"/>
    </row>
    <row r="793" spans="4:27" ht="15">
      <c r="D793" s="28"/>
      <c r="E793" s="28"/>
      <c r="F793" s="28"/>
      <c r="H793" s="17"/>
      <c r="I793" s="17"/>
      <c r="J793" s="17"/>
      <c r="K793" s="17"/>
      <c r="L793" s="17"/>
      <c r="M793" s="17"/>
      <c r="Y793" s="4" t="s">
        <v>177</v>
      </c>
      <c r="Z793" s="4" t="s">
        <v>200</v>
      </c>
      <c r="AA793" s="4"/>
    </row>
    <row r="794" spans="4:27" ht="15">
      <c r="D794" s="28"/>
      <c r="E794" s="28"/>
      <c r="F794" s="28"/>
      <c r="H794" s="17"/>
      <c r="I794" s="17"/>
      <c r="J794" s="17"/>
      <c r="K794" s="17"/>
      <c r="L794" s="17"/>
      <c r="M794" s="17"/>
      <c r="Y794" s="4" t="s">
        <v>177</v>
      </c>
      <c r="Z794" s="4" t="s">
        <v>201</v>
      </c>
      <c r="AA794" s="4"/>
    </row>
    <row r="795" spans="4:27" ht="15">
      <c r="D795" s="28"/>
      <c r="E795" s="28"/>
      <c r="F795" s="28"/>
      <c r="H795" s="17"/>
      <c r="I795" s="17"/>
      <c r="J795" s="17"/>
      <c r="K795" s="17"/>
      <c r="L795" s="17"/>
      <c r="M795" s="17"/>
      <c r="Y795" s="4" t="s">
        <v>177</v>
      </c>
      <c r="Z795" s="4" t="s">
        <v>202</v>
      </c>
      <c r="AA795" s="4"/>
    </row>
    <row r="796" spans="4:27" ht="15">
      <c r="D796" s="28"/>
      <c r="E796" s="28"/>
      <c r="F796" s="28"/>
      <c r="H796" s="17"/>
      <c r="I796" s="17"/>
      <c r="J796" s="17"/>
      <c r="K796" s="17"/>
      <c r="L796" s="17"/>
      <c r="M796" s="17"/>
      <c r="Y796" s="4" t="s">
        <v>177</v>
      </c>
      <c r="Z796" s="4" t="s">
        <v>248</v>
      </c>
      <c r="AA796" s="4"/>
    </row>
    <row r="797" spans="4:27" ht="15">
      <c r="D797" s="28"/>
      <c r="E797" s="28"/>
      <c r="F797" s="28"/>
      <c r="H797" s="17"/>
      <c r="I797" s="17"/>
      <c r="J797" s="17"/>
      <c r="K797" s="17"/>
      <c r="L797" s="17"/>
      <c r="M797" s="17"/>
      <c r="Y797" s="4" t="s">
        <v>177</v>
      </c>
      <c r="Z797" s="4" t="s">
        <v>248</v>
      </c>
      <c r="AA797" s="4"/>
    </row>
    <row r="798" spans="4:27" ht="15">
      <c r="D798" s="28"/>
      <c r="E798" s="28"/>
      <c r="F798" s="28"/>
      <c r="H798" s="17"/>
      <c r="I798" s="17"/>
      <c r="J798" s="17"/>
      <c r="K798" s="17"/>
      <c r="L798" s="17"/>
      <c r="M798" s="17"/>
      <c r="Y798" s="4" t="s">
        <v>177</v>
      </c>
      <c r="Z798" s="4" t="s">
        <v>249</v>
      </c>
      <c r="AA798" s="4"/>
    </row>
    <row r="799" spans="4:27" ht="15">
      <c r="D799" s="28"/>
      <c r="E799" s="28"/>
      <c r="F799" s="28"/>
      <c r="H799" s="17"/>
      <c r="I799" s="17"/>
      <c r="J799" s="17"/>
      <c r="K799" s="17"/>
      <c r="L799" s="17"/>
      <c r="M799" s="17"/>
      <c r="Y799" s="4" t="s">
        <v>177</v>
      </c>
      <c r="Z799" s="4" t="s">
        <v>249</v>
      </c>
      <c r="AA799" s="4"/>
    </row>
    <row r="800" spans="4:27" ht="15">
      <c r="D800" s="28"/>
      <c r="E800" s="28"/>
      <c r="F800" s="28"/>
      <c r="H800" s="17"/>
      <c r="I800" s="17"/>
      <c r="J800" s="17"/>
      <c r="K800" s="17"/>
      <c r="L800" s="17"/>
      <c r="M800" s="17"/>
      <c r="Y800" s="4" t="s">
        <v>177</v>
      </c>
      <c r="Z800" s="4" t="s">
        <v>249</v>
      </c>
      <c r="AA800" s="4"/>
    </row>
    <row r="801" spans="4:27" ht="15">
      <c r="D801" s="28"/>
      <c r="E801" s="28"/>
      <c r="F801" s="28"/>
      <c r="H801" s="17"/>
      <c r="I801" s="17"/>
      <c r="J801" s="17"/>
      <c r="K801" s="17"/>
      <c r="L801" s="17"/>
      <c r="M801" s="17"/>
      <c r="Y801" s="4" t="s">
        <v>177</v>
      </c>
      <c r="Z801" s="4" t="s">
        <v>250</v>
      </c>
      <c r="AA801" s="4"/>
    </row>
    <row r="802" spans="4:27" ht="15">
      <c r="D802" s="28"/>
      <c r="E802" s="28"/>
      <c r="F802" s="28"/>
      <c r="H802" s="17"/>
      <c r="I802" s="17"/>
      <c r="J802" s="17"/>
      <c r="K802" s="17"/>
      <c r="L802" s="17"/>
      <c r="M802" s="17"/>
      <c r="Y802" s="4" t="s">
        <v>177</v>
      </c>
      <c r="Z802" s="4" t="s">
        <v>250</v>
      </c>
      <c r="AA802" s="4"/>
    </row>
    <row r="803" spans="4:27" ht="15">
      <c r="D803" s="28"/>
      <c r="E803" s="28"/>
      <c r="F803" s="28"/>
      <c r="H803" s="17"/>
      <c r="I803" s="17"/>
      <c r="J803" s="17"/>
      <c r="K803" s="17"/>
      <c r="L803" s="17"/>
      <c r="M803" s="17"/>
      <c r="Y803" s="4" t="s">
        <v>177</v>
      </c>
      <c r="Z803" s="4" t="s">
        <v>203</v>
      </c>
      <c r="AA803" s="4"/>
    </row>
    <row r="804" spans="4:27" ht="15">
      <c r="D804" s="28"/>
      <c r="E804" s="28"/>
      <c r="F804" s="28"/>
      <c r="H804" s="17"/>
      <c r="I804" s="17"/>
      <c r="J804" s="17"/>
      <c r="K804" s="17"/>
      <c r="L804" s="17"/>
      <c r="M804" s="17"/>
      <c r="Y804" s="4" t="s">
        <v>177</v>
      </c>
      <c r="Z804" s="4" t="s">
        <v>203</v>
      </c>
      <c r="AA804" s="4"/>
    </row>
    <row r="805" spans="4:27" ht="15">
      <c r="D805" s="28"/>
      <c r="E805" s="28"/>
      <c r="F805" s="28"/>
      <c r="H805" s="17"/>
      <c r="I805" s="17"/>
      <c r="J805" s="17"/>
      <c r="K805" s="17"/>
      <c r="L805" s="17"/>
      <c r="M805" s="17"/>
      <c r="Y805" s="4" t="s">
        <v>177</v>
      </c>
      <c r="Z805" s="4" t="s">
        <v>203</v>
      </c>
      <c r="AA805" s="4"/>
    </row>
    <row r="806" spans="4:27" ht="15">
      <c r="D806" s="28"/>
      <c r="E806" s="28"/>
      <c r="F806" s="28"/>
      <c r="H806" s="17"/>
      <c r="I806" s="17"/>
      <c r="J806" s="17"/>
      <c r="K806" s="17"/>
      <c r="L806" s="17"/>
      <c r="M806" s="17"/>
      <c r="Y806" s="4" t="s">
        <v>177</v>
      </c>
      <c r="Z806" s="4" t="s">
        <v>251</v>
      </c>
      <c r="AA806" s="4"/>
    </row>
    <row r="807" spans="4:27" ht="15">
      <c r="D807" s="28"/>
      <c r="E807" s="28"/>
      <c r="F807" s="28"/>
      <c r="H807" s="17"/>
      <c r="I807" s="17"/>
      <c r="J807" s="17"/>
      <c r="K807" s="17"/>
      <c r="L807" s="17"/>
      <c r="M807" s="17"/>
      <c r="Y807" s="4" t="s">
        <v>177</v>
      </c>
      <c r="Z807" s="4" t="s">
        <v>251</v>
      </c>
      <c r="AA807" s="4"/>
    </row>
    <row r="808" spans="4:27" ht="15">
      <c r="D808" s="28"/>
      <c r="E808" s="28"/>
      <c r="F808" s="28"/>
      <c r="H808" s="17"/>
      <c r="I808" s="17"/>
      <c r="J808" s="17"/>
      <c r="K808" s="17"/>
      <c r="L808" s="17"/>
      <c r="M808" s="17"/>
      <c r="Y808" s="4" t="s">
        <v>177</v>
      </c>
      <c r="Z808" s="4" t="s">
        <v>251</v>
      </c>
      <c r="AA808" s="4"/>
    </row>
    <row r="809" spans="4:27" ht="15">
      <c r="D809" s="28"/>
      <c r="E809" s="28"/>
      <c r="F809" s="28"/>
      <c r="H809" s="17"/>
      <c r="I809" s="17"/>
      <c r="J809" s="17"/>
      <c r="K809" s="17"/>
      <c r="L809" s="17"/>
      <c r="M809" s="17"/>
      <c r="Y809" s="4" t="s">
        <v>177</v>
      </c>
      <c r="Z809" s="4" t="s">
        <v>252</v>
      </c>
      <c r="AA809" s="4"/>
    </row>
    <row r="810" spans="4:27" ht="15">
      <c r="D810" s="28"/>
      <c r="E810" s="28"/>
      <c r="F810" s="28"/>
      <c r="H810" s="17"/>
      <c r="I810" s="17"/>
      <c r="J810" s="17"/>
      <c r="K810" s="17"/>
      <c r="L810" s="17"/>
      <c r="M810" s="17"/>
      <c r="Y810" s="4" t="s">
        <v>177</v>
      </c>
      <c r="Z810" s="4" t="s">
        <v>252</v>
      </c>
      <c r="AA810" s="4"/>
    </row>
    <row r="811" spans="4:27" ht="15">
      <c r="D811" s="28"/>
      <c r="E811" s="28"/>
      <c r="F811" s="28"/>
      <c r="H811" s="17"/>
      <c r="I811" s="17"/>
      <c r="J811" s="17"/>
      <c r="K811" s="17"/>
      <c r="L811" s="17"/>
      <c r="M811" s="17"/>
      <c r="Y811" s="4" t="s">
        <v>177</v>
      </c>
      <c r="Z811" s="4" t="s">
        <v>252</v>
      </c>
      <c r="AA811" s="4"/>
    </row>
    <row r="812" spans="4:27" ht="15">
      <c r="D812" s="28"/>
      <c r="E812" s="28"/>
      <c r="F812" s="28"/>
      <c r="H812" s="17"/>
      <c r="I812" s="17"/>
      <c r="J812" s="17"/>
      <c r="K812" s="17"/>
      <c r="L812" s="17"/>
      <c r="M812" s="17"/>
      <c r="Y812" s="4" t="s">
        <v>177</v>
      </c>
      <c r="Z812" s="4" t="s">
        <v>204</v>
      </c>
      <c r="AA812" s="4"/>
    </row>
    <row r="813" spans="4:27" ht="15">
      <c r="D813" s="28"/>
      <c r="E813" s="28"/>
      <c r="F813" s="28"/>
      <c r="H813" s="17"/>
      <c r="I813" s="17"/>
      <c r="J813" s="17"/>
      <c r="K813" s="17"/>
      <c r="L813" s="17"/>
      <c r="M813" s="17"/>
      <c r="Y813" s="4" t="s">
        <v>177</v>
      </c>
      <c r="Z813" s="4" t="s">
        <v>204</v>
      </c>
      <c r="AA813" s="4"/>
    </row>
    <row r="814" spans="4:27" ht="15">
      <c r="D814" s="28"/>
      <c r="E814" s="28"/>
      <c r="F814" s="28"/>
      <c r="H814" s="17"/>
      <c r="I814" s="17"/>
      <c r="J814" s="17"/>
      <c r="K814" s="17"/>
      <c r="L814" s="17"/>
      <c r="M814" s="17"/>
      <c r="Y814" s="4" t="s">
        <v>177</v>
      </c>
      <c r="Z814" s="4" t="s">
        <v>204</v>
      </c>
      <c r="AA814" s="4"/>
    </row>
    <row r="815" spans="4:27" ht="15">
      <c r="D815" s="28"/>
      <c r="E815" s="28"/>
      <c r="F815" s="28"/>
      <c r="H815" s="17"/>
      <c r="I815" s="17"/>
      <c r="J815" s="17"/>
      <c r="K815" s="17"/>
      <c r="L815" s="17"/>
      <c r="M815" s="17"/>
      <c r="Y815" s="4" t="s">
        <v>177</v>
      </c>
      <c r="Z815" s="4" t="s">
        <v>205</v>
      </c>
      <c r="AA815" s="4"/>
    </row>
    <row r="816" spans="4:27" ht="15">
      <c r="D816" s="28"/>
      <c r="E816" s="28"/>
      <c r="F816" s="28"/>
      <c r="H816" s="17"/>
      <c r="I816" s="17"/>
      <c r="J816" s="17"/>
      <c r="K816" s="17"/>
      <c r="L816" s="17"/>
      <c r="M816" s="17"/>
      <c r="Y816" s="4" t="s">
        <v>177</v>
      </c>
      <c r="Z816" s="4" t="s">
        <v>205</v>
      </c>
      <c r="AA816" s="4"/>
    </row>
    <row r="817" spans="4:27" ht="15">
      <c r="D817" s="28"/>
      <c r="E817" s="28"/>
      <c r="F817" s="28"/>
      <c r="H817" s="17"/>
      <c r="I817" s="17"/>
      <c r="J817" s="17"/>
      <c r="K817" s="17"/>
      <c r="L817" s="17"/>
      <c r="M817" s="17"/>
      <c r="Y817" s="4" t="s">
        <v>177</v>
      </c>
      <c r="Z817" s="4" t="s">
        <v>206</v>
      </c>
      <c r="AA817" s="4"/>
    </row>
    <row r="818" spans="4:27" ht="15">
      <c r="D818" s="28"/>
      <c r="E818" s="28"/>
      <c r="F818" s="28"/>
      <c r="H818" s="17"/>
      <c r="I818" s="17"/>
      <c r="J818" s="17"/>
      <c r="K818" s="17"/>
      <c r="L818" s="17"/>
      <c r="M818" s="17"/>
      <c r="Y818" s="4" t="s">
        <v>177</v>
      </c>
      <c r="Z818" s="4" t="s">
        <v>206</v>
      </c>
      <c r="AA818" s="4"/>
    </row>
    <row r="819" spans="4:27" ht="15">
      <c r="D819" s="28"/>
      <c r="E819" s="28"/>
      <c r="F819" s="28"/>
      <c r="H819" s="17"/>
      <c r="I819" s="17"/>
      <c r="J819" s="17"/>
      <c r="K819" s="17"/>
      <c r="L819" s="17"/>
      <c r="M819" s="17"/>
      <c r="Y819" s="4" t="s">
        <v>177</v>
      </c>
      <c r="Z819" s="4" t="s">
        <v>253</v>
      </c>
      <c r="AA819" s="4"/>
    </row>
    <row r="820" spans="4:27" ht="15">
      <c r="D820" s="28"/>
      <c r="E820" s="28"/>
      <c r="F820" s="28"/>
      <c r="H820" s="17"/>
      <c r="I820" s="17"/>
      <c r="J820" s="17"/>
      <c r="K820" s="17"/>
      <c r="L820" s="17"/>
      <c r="M820" s="17"/>
      <c r="Y820" s="4" t="s">
        <v>177</v>
      </c>
      <c r="Z820" s="4" t="s">
        <v>253</v>
      </c>
      <c r="AA820" s="4"/>
    </row>
    <row r="821" spans="4:27" ht="15">
      <c r="D821" s="28"/>
      <c r="E821" s="28"/>
      <c r="F821" s="28"/>
      <c r="H821" s="17"/>
      <c r="I821" s="17"/>
      <c r="J821" s="17"/>
      <c r="K821" s="17"/>
      <c r="L821" s="17"/>
      <c r="M821" s="17"/>
      <c r="Y821" s="4" t="s">
        <v>177</v>
      </c>
      <c r="Z821" s="4" t="s">
        <v>253</v>
      </c>
      <c r="AA821" s="4"/>
    </row>
    <row r="822" spans="4:27" ht="15">
      <c r="D822" s="28"/>
      <c r="E822" s="28"/>
      <c r="F822" s="28"/>
      <c r="H822" s="17"/>
      <c r="I822" s="17"/>
      <c r="J822" s="17"/>
      <c r="K822" s="17"/>
      <c r="L822" s="17"/>
      <c r="M822" s="17"/>
      <c r="Y822" s="4" t="s">
        <v>177</v>
      </c>
      <c r="Z822" s="4" t="s">
        <v>254</v>
      </c>
      <c r="AA822" s="4"/>
    </row>
    <row r="823" spans="4:27" ht="15">
      <c r="D823" s="28"/>
      <c r="E823" s="28"/>
      <c r="F823" s="28"/>
      <c r="H823" s="17"/>
      <c r="I823" s="17"/>
      <c r="J823" s="17"/>
      <c r="K823" s="17"/>
      <c r="L823" s="17"/>
      <c r="M823" s="17"/>
      <c r="Y823" s="4" t="s">
        <v>177</v>
      </c>
      <c r="Z823" s="4" t="s">
        <v>254</v>
      </c>
      <c r="AA823" s="4"/>
    </row>
    <row r="824" spans="4:27" ht="15">
      <c r="D824" s="28"/>
      <c r="E824" s="28"/>
      <c r="F824" s="28"/>
      <c r="H824" s="17"/>
      <c r="I824" s="17"/>
      <c r="J824" s="17"/>
      <c r="K824" s="17"/>
      <c r="L824" s="17"/>
      <c r="M824" s="17"/>
      <c r="Y824" s="4" t="s">
        <v>177</v>
      </c>
      <c r="Z824" s="4" t="s">
        <v>254</v>
      </c>
      <c r="AA824" s="4"/>
    </row>
    <row r="825" spans="4:27" ht="15">
      <c r="D825" s="28"/>
      <c r="E825" s="28"/>
      <c r="F825" s="28"/>
      <c r="H825" s="17"/>
      <c r="I825" s="17"/>
      <c r="J825" s="17"/>
      <c r="K825" s="17"/>
      <c r="L825" s="17"/>
      <c r="M825" s="17"/>
      <c r="Y825" s="4" t="s">
        <v>177</v>
      </c>
      <c r="Z825" s="4" t="s">
        <v>255</v>
      </c>
      <c r="AA825" s="4"/>
    </row>
    <row r="826" spans="4:27" ht="15">
      <c r="D826" s="28"/>
      <c r="E826" s="28"/>
      <c r="F826" s="28"/>
      <c r="H826" s="17"/>
      <c r="I826" s="17"/>
      <c r="J826" s="17"/>
      <c r="K826" s="17"/>
      <c r="L826" s="17"/>
      <c r="M826" s="17"/>
      <c r="Y826" s="4" t="s">
        <v>177</v>
      </c>
      <c r="Z826" s="4" t="s">
        <v>255</v>
      </c>
      <c r="AA826" s="4"/>
    </row>
    <row r="827" spans="4:27" ht="15">
      <c r="D827" s="28"/>
      <c r="E827" s="28"/>
      <c r="F827" s="28"/>
      <c r="H827" s="17"/>
      <c r="I827" s="17"/>
      <c r="J827" s="17"/>
      <c r="K827" s="17" t="s">
        <v>153</v>
      </c>
      <c r="L827" s="17"/>
      <c r="M827" s="17"/>
      <c r="Y827" s="4" t="s">
        <v>177</v>
      </c>
      <c r="Z827" s="4" t="s">
        <v>207</v>
      </c>
      <c r="AA827" s="4"/>
    </row>
    <row r="828" spans="4:27" ht="15">
      <c r="D828" s="28"/>
      <c r="E828" s="28"/>
      <c r="F828" s="28"/>
      <c r="H828" s="17"/>
      <c r="I828" s="17"/>
      <c r="J828" s="17"/>
      <c r="K828" s="17"/>
      <c r="L828" s="17"/>
      <c r="M828" s="17"/>
      <c r="Y828" s="4" t="s">
        <v>177</v>
      </c>
      <c r="Z828" s="4" t="s">
        <v>207</v>
      </c>
      <c r="AA828" s="4"/>
    </row>
    <row r="829" spans="4:27" ht="15">
      <c r="D829" s="28"/>
      <c r="E829" s="28"/>
      <c r="F829" s="28"/>
      <c r="H829" s="17"/>
      <c r="I829" s="17"/>
      <c r="J829" s="17"/>
      <c r="K829" s="17"/>
      <c r="L829" s="17"/>
      <c r="M829" s="17"/>
      <c r="Y829" s="4" t="s">
        <v>177</v>
      </c>
      <c r="Z829" s="4" t="s">
        <v>207</v>
      </c>
      <c r="AA829" s="4"/>
    </row>
    <row r="830" spans="4:27" ht="15">
      <c r="D830" s="28"/>
      <c r="E830" s="28"/>
      <c r="F830" s="28"/>
      <c r="H830" s="17"/>
      <c r="I830" s="17"/>
      <c r="J830" s="17"/>
      <c r="K830" s="17"/>
      <c r="L830" s="17"/>
      <c r="M830" s="17"/>
      <c r="Y830" s="4" t="s">
        <v>177</v>
      </c>
      <c r="Z830" s="4" t="s">
        <v>208</v>
      </c>
      <c r="AA830" s="4"/>
    </row>
    <row r="831" spans="4:27" ht="15">
      <c r="D831" s="28"/>
      <c r="E831" s="28"/>
      <c r="F831" s="28"/>
      <c r="H831" s="17"/>
      <c r="I831" s="17"/>
      <c r="J831" s="17"/>
      <c r="K831" s="17"/>
      <c r="L831" s="17"/>
      <c r="M831" s="17"/>
      <c r="Y831" s="4" t="s">
        <v>177</v>
      </c>
      <c r="Z831" s="4" t="s">
        <v>208</v>
      </c>
      <c r="AA831" s="4"/>
    </row>
    <row r="832" spans="4:27" ht="15">
      <c r="D832" s="28"/>
      <c r="E832" s="28"/>
      <c r="F832" s="28"/>
      <c r="H832" s="17"/>
      <c r="I832" s="17"/>
      <c r="J832" s="17"/>
      <c r="K832" s="17"/>
      <c r="L832" s="17"/>
      <c r="M832" s="17"/>
      <c r="Y832" s="4" t="s">
        <v>177</v>
      </c>
      <c r="Z832" s="4" t="s">
        <v>208</v>
      </c>
      <c r="AA832" s="4"/>
    </row>
    <row r="833" spans="4:27" ht="15">
      <c r="D833" s="28"/>
      <c r="E833" s="28"/>
      <c r="F833" s="28"/>
      <c r="H833" s="17"/>
      <c r="I833" s="17"/>
      <c r="J833" s="17"/>
      <c r="K833" s="17"/>
      <c r="L833" s="17"/>
      <c r="M833" s="17"/>
      <c r="Y833" s="4" t="s">
        <v>177</v>
      </c>
      <c r="Z833" s="4" t="s">
        <v>209</v>
      </c>
      <c r="AA833" s="4"/>
    </row>
    <row r="834" spans="4:27" ht="15">
      <c r="D834" s="28"/>
      <c r="E834" s="28"/>
      <c r="F834" s="28"/>
      <c r="H834" s="17"/>
      <c r="I834" s="17"/>
      <c r="J834" s="17"/>
      <c r="K834" s="17"/>
      <c r="L834" s="17"/>
      <c r="M834" s="17"/>
      <c r="Y834" s="4" t="s">
        <v>177</v>
      </c>
      <c r="Z834" s="4" t="s">
        <v>209</v>
      </c>
      <c r="AA834" s="4"/>
    </row>
    <row r="835" spans="4:27" ht="15">
      <c r="D835" s="28"/>
      <c r="E835" s="28"/>
      <c r="F835" s="28"/>
      <c r="H835" s="17"/>
      <c r="I835" s="17"/>
      <c r="J835" s="17"/>
      <c r="K835" s="17"/>
      <c r="L835" s="17"/>
      <c r="M835" s="17"/>
      <c r="Y835" s="4" t="s">
        <v>177</v>
      </c>
      <c r="Z835" s="4" t="s">
        <v>209</v>
      </c>
      <c r="AA835" s="4"/>
    </row>
    <row r="836" spans="4:27" ht="15">
      <c r="D836" s="28"/>
      <c r="E836" s="28"/>
      <c r="F836" s="28"/>
      <c r="H836" s="17"/>
      <c r="I836" s="17"/>
      <c r="J836" s="17"/>
      <c r="K836" s="17"/>
      <c r="L836" s="17"/>
      <c r="M836" s="17"/>
      <c r="Y836" s="4" t="s">
        <v>177</v>
      </c>
      <c r="Z836" s="4" t="s">
        <v>256</v>
      </c>
      <c r="AA836" s="4"/>
    </row>
    <row r="837" spans="4:27" ht="15">
      <c r="D837" s="28"/>
      <c r="E837" s="28"/>
      <c r="F837" s="28"/>
      <c r="H837" s="17"/>
      <c r="I837" s="17"/>
      <c r="J837" s="17"/>
      <c r="K837" s="17"/>
      <c r="L837" s="17"/>
      <c r="M837" s="17"/>
      <c r="Y837" s="4" t="s">
        <v>177</v>
      </c>
      <c r="Z837" s="4" t="s">
        <v>256</v>
      </c>
      <c r="AA837" s="4"/>
    </row>
    <row r="838" spans="4:27" ht="15">
      <c r="D838" s="28"/>
      <c r="E838" s="28"/>
      <c r="F838" s="28"/>
      <c r="H838" s="17"/>
      <c r="I838" s="17"/>
      <c r="J838" s="17"/>
      <c r="K838" s="17"/>
      <c r="L838" s="17"/>
      <c r="M838" s="17"/>
      <c r="Y838" s="4" t="s">
        <v>177</v>
      </c>
      <c r="Z838" s="4" t="s">
        <v>256</v>
      </c>
      <c r="AA838" s="4"/>
    </row>
    <row r="839" spans="4:27" ht="15">
      <c r="D839" s="28"/>
      <c r="E839" s="28"/>
      <c r="F839" s="28"/>
      <c r="H839" s="17"/>
      <c r="I839" s="17"/>
      <c r="J839" s="17"/>
      <c r="K839" s="17"/>
      <c r="L839" s="17"/>
      <c r="M839" s="17"/>
      <c r="Y839" s="4" t="s">
        <v>177</v>
      </c>
      <c r="Z839" s="4" t="s">
        <v>257</v>
      </c>
      <c r="AA839" s="4"/>
    </row>
    <row r="840" spans="4:27" ht="15">
      <c r="D840" s="28"/>
      <c r="E840" s="28"/>
      <c r="F840" s="28"/>
      <c r="H840" s="17"/>
      <c r="I840" s="17"/>
      <c r="J840" s="17"/>
      <c r="K840" s="17"/>
      <c r="L840" s="17"/>
      <c r="M840" s="17"/>
      <c r="Y840" s="4" t="s">
        <v>177</v>
      </c>
      <c r="Z840" s="4" t="s">
        <v>257</v>
      </c>
      <c r="AA840" s="4"/>
    </row>
    <row r="841" spans="4:27" ht="15">
      <c r="D841" s="28"/>
      <c r="E841" s="28"/>
      <c r="F841" s="28"/>
      <c r="H841" s="17"/>
      <c r="I841" s="17"/>
      <c r="J841" s="17"/>
      <c r="K841" s="17" t="s">
        <v>156</v>
      </c>
      <c r="L841" s="17"/>
      <c r="M841" s="17"/>
      <c r="Y841" s="4" t="s">
        <v>177</v>
      </c>
      <c r="Z841" s="4" t="s">
        <v>257</v>
      </c>
      <c r="AA841" s="4"/>
    </row>
    <row r="842" spans="4:27" ht="15">
      <c r="D842" s="28"/>
      <c r="E842" s="28"/>
      <c r="F842" s="28"/>
      <c r="H842" s="17"/>
      <c r="I842" s="17"/>
      <c r="J842" s="17"/>
      <c r="K842" s="17" t="s">
        <v>156</v>
      </c>
      <c r="L842" s="17"/>
      <c r="M842" s="17"/>
      <c r="Y842" s="4" t="s">
        <v>177</v>
      </c>
      <c r="Z842" s="4" t="s">
        <v>258</v>
      </c>
      <c r="AA842" s="4"/>
    </row>
    <row r="843" spans="4:27" ht="15">
      <c r="D843" s="28"/>
      <c r="E843" s="28"/>
      <c r="F843" s="28"/>
      <c r="H843" s="17"/>
      <c r="I843" s="17"/>
      <c r="J843" s="17"/>
      <c r="K843" s="17" t="s">
        <v>156</v>
      </c>
      <c r="L843" s="17"/>
      <c r="M843" s="17"/>
      <c r="Y843" s="4" t="s">
        <v>177</v>
      </c>
      <c r="Z843" s="4" t="s">
        <v>258</v>
      </c>
      <c r="AA843" s="4"/>
    </row>
    <row r="844" spans="4:27" ht="15">
      <c r="D844" s="28"/>
      <c r="E844" s="28"/>
      <c r="F844" s="28"/>
      <c r="H844" s="17"/>
      <c r="I844" s="17"/>
      <c r="J844" s="17"/>
      <c r="K844" s="17"/>
      <c r="L844" s="17"/>
      <c r="M844" s="17"/>
      <c r="Y844" s="4" t="s">
        <v>177</v>
      </c>
      <c r="Z844" s="4" t="s">
        <v>258</v>
      </c>
      <c r="AA844" s="4"/>
    </row>
    <row r="845" spans="4:27" ht="15">
      <c r="D845" s="28"/>
      <c r="E845" s="28"/>
      <c r="F845" s="28"/>
      <c r="H845" s="17"/>
      <c r="I845" s="17"/>
      <c r="J845" s="17"/>
      <c r="K845" s="17"/>
      <c r="L845" s="17"/>
      <c r="M845" s="17"/>
      <c r="Y845" s="4" t="s">
        <v>177</v>
      </c>
      <c r="Z845" s="4" t="s">
        <v>259</v>
      </c>
      <c r="AA845" s="4"/>
    </row>
    <row r="846" spans="4:27" ht="15">
      <c r="D846" s="28"/>
      <c r="E846" s="28"/>
      <c r="F846" s="28"/>
      <c r="H846" s="17"/>
      <c r="I846" s="17"/>
      <c r="J846" s="17"/>
      <c r="K846" s="17"/>
      <c r="L846" s="17"/>
      <c r="M846" s="17"/>
      <c r="Y846" s="4" t="s">
        <v>177</v>
      </c>
      <c r="Z846" s="4" t="s">
        <v>259</v>
      </c>
      <c r="AA846" s="4"/>
    </row>
    <row r="847" spans="4:27" ht="15">
      <c r="D847" s="28"/>
      <c r="E847" s="28"/>
      <c r="F847" s="28"/>
      <c r="H847" s="17"/>
      <c r="I847" s="17"/>
      <c r="J847" s="17"/>
      <c r="K847" s="17"/>
      <c r="L847" s="17"/>
      <c r="M847" s="17"/>
      <c r="Y847" s="4" t="s">
        <v>177</v>
      </c>
      <c r="Z847" s="4" t="s">
        <v>260</v>
      </c>
      <c r="AA847" s="4"/>
    </row>
    <row r="848" spans="4:27" ht="15">
      <c r="D848" s="28"/>
      <c r="E848" s="28"/>
      <c r="F848" s="28"/>
      <c r="H848" s="17"/>
      <c r="I848" s="17"/>
      <c r="J848" s="17"/>
      <c r="K848" s="17"/>
      <c r="L848" s="17"/>
      <c r="M848" s="17"/>
      <c r="Y848" s="4" t="s">
        <v>177</v>
      </c>
      <c r="Z848" s="4" t="s">
        <v>260</v>
      </c>
      <c r="AA848" s="4"/>
    </row>
    <row r="849" spans="4:27" ht="15">
      <c r="D849" s="28"/>
      <c r="E849" s="28"/>
      <c r="F849" s="28"/>
      <c r="H849" s="17"/>
      <c r="I849" s="17"/>
      <c r="J849" s="17"/>
      <c r="K849" s="17"/>
      <c r="L849" s="17"/>
      <c r="M849" s="17"/>
      <c r="Y849" s="4" t="s">
        <v>177</v>
      </c>
      <c r="Z849" s="4" t="s">
        <v>260</v>
      </c>
      <c r="AA849" s="4"/>
    </row>
    <row r="850" spans="4:27" ht="15">
      <c r="D850" s="28"/>
      <c r="E850" s="28"/>
      <c r="F850" s="28"/>
      <c r="H850" s="17"/>
      <c r="I850" s="17"/>
      <c r="J850" s="17"/>
      <c r="K850" s="17"/>
      <c r="L850" s="17"/>
      <c r="M850" s="17"/>
      <c r="Y850" s="4" t="s">
        <v>177</v>
      </c>
      <c r="Z850" s="4" t="s">
        <v>261</v>
      </c>
      <c r="AA850" s="4"/>
    </row>
    <row r="851" spans="4:27" ht="15">
      <c r="D851" s="28"/>
      <c r="E851" s="28"/>
      <c r="F851" s="28"/>
      <c r="H851" s="17"/>
      <c r="I851" s="17"/>
      <c r="J851" s="17"/>
      <c r="K851" s="17"/>
      <c r="L851" s="17"/>
      <c r="M851" s="17"/>
      <c r="Y851" s="4" t="s">
        <v>177</v>
      </c>
      <c r="Z851" s="4" t="s">
        <v>261</v>
      </c>
      <c r="AA851" s="4"/>
    </row>
    <row r="852" spans="4:27" ht="15">
      <c r="D852" s="28"/>
      <c r="E852" s="28"/>
      <c r="F852" s="28"/>
      <c r="H852" s="17"/>
      <c r="I852" s="17"/>
      <c r="J852" s="17"/>
      <c r="K852" s="17"/>
      <c r="L852" s="17"/>
      <c r="M852" s="17"/>
      <c r="Y852" s="4" t="s">
        <v>177</v>
      </c>
      <c r="Z852" s="4" t="s">
        <v>261</v>
      </c>
      <c r="AA852" s="4"/>
    </row>
    <row r="853" spans="4:27" ht="15">
      <c r="D853" s="28"/>
      <c r="E853" s="28"/>
      <c r="F853" s="28"/>
      <c r="H853" s="17"/>
      <c r="I853" s="17"/>
      <c r="J853" s="17"/>
      <c r="K853" s="17"/>
      <c r="L853" s="17"/>
      <c r="M853" s="17"/>
      <c r="Y853" s="4" t="s">
        <v>177</v>
      </c>
      <c r="Z853" s="4" t="s">
        <v>262</v>
      </c>
      <c r="AA853" s="4"/>
    </row>
    <row r="854" spans="4:27" ht="15">
      <c r="D854" s="28"/>
      <c r="E854" s="28"/>
      <c r="F854" s="28"/>
      <c r="H854" s="17"/>
      <c r="I854" s="17"/>
      <c r="J854" s="17"/>
      <c r="K854" s="17"/>
      <c r="L854" s="17"/>
      <c r="M854" s="17"/>
      <c r="Y854" s="4" t="s">
        <v>177</v>
      </c>
      <c r="Z854" s="4" t="s">
        <v>262</v>
      </c>
      <c r="AA854" s="4"/>
    </row>
    <row r="855" spans="4:27" ht="15">
      <c r="D855" s="28"/>
      <c r="E855" s="28"/>
      <c r="F855" s="28"/>
      <c r="H855" s="17"/>
      <c r="I855" s="17"/>
      <c r="J855" s="17"/>
      <c r="K855" s="17"/>
      <c r="L855" s="17"/>
      <c r="M855" s="17"/>
      <c r="Y855" s="4" t="s">
        <v>177</v>
      </c>
      <c r="Z855" s="4" t="s">
        <v>263</v>
      </c>
      <c r="AA855" s="4"/>
    </row>
    <row r="856" spans="4:27" ht="15">
      <c r="D856" s="28"/>
      <c r="E856" s="28"/>
      <c r="F856" s="28"/>
      <c r="H856" s="17"/>
      <c r="I856" s="17"/>
      <c r="J856" s="17"/>
      <c r="K856" s="17"/>
      <c r="L856" s="17"/>
      <c r="M856" s="17"/>
      <c r="Y856" s="4" t="s">
        <v>177</v>
      </c>
      <c r="Z856" s="4" t="s">
        <v>263</v>
      </c>
      <c r="AA856" s="4"/>
    </row>
    <row r="857" spans="4:27" ht="15">
      <c r="D857" s="28"/>
      <c r="E857" s="28"/>
      <c r="F857" s="28"/>
      <c r="H857" s="17"/>
      <c r="I857" s="17"/>
      <c r="J857" s="17"/>
      <c r="K857" s="17"/>
      <c r="L857" s="17"/>
      <c r="M857" s="17"/>
      <c r="Y857" s="4" t="s">
        <v>177</v>
      </c>
      <c r="Z857" s="4" t="s">
        <v>264</v>
      </c>
      <c r="AA857" s="4"/>
    </row>
    <row r="858" spans="4:27" ht="15">
      <c r="D858" s="28"/>
      <c r="E858" s="28"/>
      <c r="F858" s="28"/>
      <c r="H858" s="17"/>
      <c r="I858" s="17"/>
      <c r="J858" s="17"/>
      <c r="K858" s="17"/>
      <c r="L858" s="17"/>
      <c r="M858" s="17"/>
      <c r="Y858" s="4" t="s">
        <v>177</v>
      </c>
      <c r="Z858" s="4" t="s">
        <v>264</v>
      </c>
      <c r="AA858" s="4"/>
    </row>
    <row r="859" spans="4:27" ht="15">
      <c r="D859" s="28"/>
      <c r="E859" s="28"/>
      <c r="F859" s="28"/>
      <c r="H859" s="17"/>
      <c r="I859" s="17"/>
      <c r="J859" s="17"/>
      <c r="K859" s="17"/>
      <c r="L859" s="17"/>
      <c r="M859" s="17"/>
      <c r="Y859" s="4" t="s">
        <v>177</v>
      </c>
      <c r="Z859" s="4" t="s">
        <v>264</v>
      </c>
      <c r="AA859" s="4"/>
    </row>
    <row r="860" spans="4:27" ht="15">
      <c r="D860" s="28"/>
      <c r="E860" s="28"/>
      <c r="F860" s="28"/>
      <c r="H860" s="17"/>
      <c r="I860" s="17"/>
      <c r="J860" s="17"/>
      <c r="K860" s="17"/>
      <c r="L860" s="17"/>
      <c r="M860" s="17"/>
      <c r="Y860" s="4" t="s">
        <v>177</v>
      </c>
      <c r="Z860" s="4" t="s">
        <v>265</v>
      </c>
      <c r="AA860" s="4"/>
    </row>
    <row r="861" spans="4:27" ht="15">
      <c r="D861" s="28"/>
      <c r="E861" s="28"/>
      <c r="F861" s="28"/>
      <c r="H861" s="17"/>
      <c r="I861" s="17"/>
      <c r="J861" s="17"/>
      <c r="K861" s="17"/>
      <c r="L861" s="17"/>
      <c r="M861" s="17"/>
      <c r="Y861" s="4" t="s">
        <v>177</v>
      </c>
      <c r="Z861" s="4" t="s">
        <v>265</v>
      </c>
      <c r="AA861" s="4"/>
    </row>
    <row r="862" spans="4:27" ht="15">
      <c r="D862" s="28"/>
      <c r="E862" s="28"/>
      <c r="F862" s="28"/>
      <c r="H862" s="17"/>
      <c r="I862" s="17"/>
      <c r="J862" s="17"/>
      <c r="K862" s="17"/>
      <c r="L862" s="17"/>
      <c r="M862" s="17"/>
      <c r="Y862" s="4" t="s">
        <v>177</v>
      </c>
      <c r="Z862" s="4" t="s">
        <v>265</v>
      </c>
      <c r="AA862" s="4"/>
    </row>
    <row r="863" spans="4:27" ht="15">
      <c r="D863" s="28"/>
      <c r="E863" s="28"/>
      <c r="F863" s="28"/>
      <c r="H863" s="17"/>
      <c r="I863" s="17"/>
      <c r="J863" s="17"/>
      <c r="K863" s="17"/>
      <c r="L863" s="17"/>
      <c r="M863" s="17"/>
      <c r="Y863" s="4" t="s">
        <v>177</v>
      </c>
      <c r="Z863" s="4" t="s">
        <v>266</v>
      </c>
      <c r="AA863" s="4"/>
    </row>
    <row r="864" spans="4:27" ht="15">
      <c r="D864" s="28"/>
      <c r="E864" s="28"/>
      <c r="F864" s="28"/>
      <c r="H864" s="17"/>
      <c r="I864" s="17"/>
      <c r="J864" s="17"/>
      <c r="K864" s="17" t="s">
        <v>267</v>
      </c>
      <c r="L864" s="17"/>
      <c r="M864" s="17"/>
      <c r="Y864" s="4" t="s">
        <v>177</v>
      </c>
      <c r="Z864" s="4" t="s">
        <v>266</v>
      </c>
      <c r="AA864" s="4"/>
    </row>
    <row r="865" spans="4:27" ht="15">
      <c r="D865" s="28"/>
      <c r="E865" s="28"/>
      <c r="F865" s="28"/>
      <c r="H865" s="17"/>
      <c r="I865" s="17"/>
      <c r="J865" s="17"/>
      <c r="K865" s="17"/>
      <c r="L865" s="17"/>
      <c r="M865" s="17"/>
      <c r="Y865" s="4" t="s">
        <v>177</v>
      </c>
      <c r="Z865" s="4" t="s">
        <v>268</v>
      </c>
      <c r="AA865" s="4"/>
    </row>
    <row r="866" spans="4:27" ht="15">
      <c r="D866" s="28"/>
      <c r="E866" s="28"/>
      <c r="F866" s="28"/>
      <c r="H866" s="17"/>
      <c r="I866" s="17"/>
      <c r="J866" s="17"/>
      <c r="K866" s="17"/>
      <c r="L866" s="17"/>
      <c r="M866" s="17"/>
      <c r="Y866" s="4" t="s">
        <v>177</v>
      </c>
      <c r="Z866" s="4" t="s">
        <v>268</v>
      </c>
      <c r="AA866" s="4"/>
    </row>
    <row r="867" spans="4:27" ht="15">
      <c r="D867" s="28"/>
      <c r="E867" s="28"/>
      <c r="F867" s="28"/>
      <c r="H867" s="17"/>
      <c r="I867" s="17"/>
      <c r="J867" s="17"/>
      <c r="K867" s="17"/>
      <c r="L867" s="17"/>
      <c r="M867" s="17"/>
      <c r="Y867" s="4" t="s">
        <v>177</v>
      </c>
      <c r="Z867" s="4" t="s">
        <v>210</v>
      </c>
      <c r="AA867" s="4"/>
    </row>
    <row r="868" spans="4:27" ht="15">
      <c r="D868" s="28"/>
      <c r="E868" s="28"/>
      <c r="F868" s="28"/>
      <c r="H868" s="17"/>
      <c r="I868" s="17"/>
      <c r="J868" s="17"/>
      <c r="K868" s="17" t="s">
        <v>269</v>
      </c>
      <c r="L868" s="17"/>
      <c r="M868" s="17"/>
      <c r="Y868" s="4" t="s">
        <v>177</v>
      </c>
      <c r="Z868" s="4" t="s">
        <v>211</v>
      </c>
      <c r="AA868" s="4"/>
    </row>
    <row r="869" spans="4:27" ht="15">
      <c r="D869" s="28"/>
      <c r="E869" s="28"/>
      <c r="F869" s="28"/>
      <c r="H869" s="17"/>
      <c r="I869" s="17"/>
      <c r="J869" s="17"/>
      <c r="K869" s="17"/>
      <c r="L869" s="17"/>
      <c r="M869" s="17"/>
      <c r="Y869" s="4" t="s">
        <v>177</v>
      </c>
      <c r="Z869" s="4" t="s">
        <v>211</v>
      </c>
      <c r="AA869" s="4"/>
    </row>
    <row r="870" spans="4:27" ht="15">
      <c r="D870" s="28"/>
      <c r="E870" s="28"/>
      <c r="F870" s="28"/>
      <c r="H870" s="17"/>
      <c r="I870" s="17"/>
      <c r="J870" s="17"/>
      <c r="K870" s="17"/>
      <c r="L870" s="17"/>
      <c r="M870" s="17"/>
      <c r="Y870" s="4" t="s">
        <v>177</v>
      </c>
      <c r="Z870" s="4" t="s">
        <v>212</v>
      </c>
      <c r="AA870" s="4"/>
    </row>
    <row r="871" spans="4:27" ht="15">
      <c r="D871" s="28"/>
      <c r="E871" s="28"/>
      <c r="F871" s="28"/>
      <c r="H871" s="17"/>
      <c r="I871" s="17"/>
      <c r="J871" s="17"/>
      <c r="K871" s="17"/>
      <c r="L871" s="17"/>
      <c r="M871" s="17"/>
      <c r="Y871" s="4" t="s">
        <v>177</v>
      </c>
      <c r="Z871" s="4" t="s">
        <v>212</v>
      </c>
      <c r="AA871" s="4"/>
    </row>
    <row r="872" spans="4:27" ht="15">
      <c r="D872" s="28"/>
      <c r="E872" s="28"/>
      <c r="F872" s="28"/>
      <c r="H872" s="17"/>
      <c r="I872" s="17"/>
      <c r="J872" s="17"/>
      <c r="K872" s="17"/>
      <c r="L872" s="17"/>
      <c r="M872" s="17"/>
      <c r="Y872" s="4" t="s">
        <v>177</v>
      </c>
      <c r="Z872" s="4" t="s">
        <v>213</v>
      </c>
      <c r="AA872" s="4"/>
    </row>
    <row r="873" spans="4:27" ht="15">
      <c r="D873" s="28"/>
      <c r="E873" s="28"/>
      <c r="F873" s="28"/>
      <c r="H873" s="17"/>
      <c r="I873" s="17"/>
      <c r="J873" s="17"/>
      <c r="K873" s="17"/>
      <c r="L873" s="17"/>
      <c r="M873" s="17"/>
      <c r="Y873" s="4" t="s">
        <v>177</v>
      </c>
      <c r="Z873" s="4" t="s">
        <v>213</v>
      </c>
      <c r="AA873" s="4"/>
    </row>
    <row r="874" spans="4:27" ht="15">
      <c r="D874" s="28"/>
      <c r="E874" s="28"/>
      <c r="F874" s="28"/>
      <c r="H874" s="17"/>
      <c r="I874" s="17"/>
      <c r="J874" s="17"/>
      <c r="K874" s="17"/>
      <c r="L874" s="17"/>
      <c r="M874" s="17"/>
      <c r="Y874" s="4" t="s">
        <v>177</v>
      </c>
      <c r="Z874" s="4" t="s">
        <v>213</v>
      </c>
      <c r="AA874" s="4"/>
    </row>
    <row r="875" spans="4:27" ht="15">
      <c r="D875" s="28"/>
      <c r="E875" s="28"/>
      <c r="F875" s="28"/>
      <c r="H875" s="17"/>
      <c r="I875" s="17"/>
      <c r="J875" s="17"/>
      <c r="K875" s="17"/>
      <c r="L875" s="17"/>
      <c r="M875" s="17"/>
      <c r="Y875" s="4" t="s">
        <v>177</v>
      </c>
      <c r="Z875" s="4" t="s">
        <v>214</v>
      </c>
      <c r="AA875" s="4"/>
    </row>
    <row r="876" spans="4:27" ht="15">
      <c r="D876" s="28"/>
      <c r="E876" s="28"/>
      <c r="F876" s="28"/>
      <c r="H876" s="17"/>
      <c r="I876" s="17"/>
      <c r="J876" s="17"/>
      <c r="K876" s="17"/>
      <c r="L876" s="17"/>
      <c r="M876" s="17"/>
      <c r="Y876" s="4" t="s">
        <v>177</v>
      </c>
      <c r="Z876" s="4" t="s">
        <v>214</v>
      </c>
      <c r="AA876" s="4"/>
    </row>
    <row r="877" spans="4:27" ht="15">
      <c r="D877" s="28"/>
      <c r="E877" s="28"/>
      <c r="F877" s="28"/>
      <c r="H877" s="17"/>
      <c r="I877" s="17"/>
      <c r="J877" s="17"/>
      <c r="K877" s="17"/>
      <c r="L877" s="17"/>
      <c r="M877" s="17"/>
      <c r="Y877" s="4" t="s">
        <v>177</v>
      </c>
      <c r="Z877" s="4" t="s">
        <v>214</v>
      </c>
      <c r="AA877" s="4"/>
    </row>
    <row r="878" spans="4:27" ht="15">
      <c r="D878" s="28"/>
      <c r="E878" s="28"/>
      <c r="F878" s="28"/>
      <c r="H878" s="17"/>
      <c r="I878" s="17"/>
      <c r="J878" s="17"/>
      <c r="K878" s="17"/>
      <c r="L878" s="17"/>
      <c r="M878" s="17"/>
      <c r="Y878" s="4" t="s">
        <v>177</v>
      </c>
      <c r="Z878" s="4" t="s">
        <v>215</v>
      </c>
      <c r="AA878" s="4"/>
    </row>
    <row r="879" spans="4:27" ht="15">
      <c r="D879" s="28"/>
      <c r="E879" s="28"/>
      <c r="F879" s="28"/>
      <c r="H879" s="17"/>
      <c r="I879" s="17"/>
      <c r="J879" s="17"/>
      <c r="K879" s="17"/>
      <c r="L879" s="17"/>
      <c r="M879" s="17"/>
      <c r="Y879" s="4" t="s">
        <v>177</v>
      </c>
      <c r="Z879" s="4" t="s">
        <v>216</v>
      </c>
      <c r="AA879" s="4"/>
    </row>
    <row r="880" spans="4:27" ht="15">
      <c r="D880" s="28"/>
      <c r="E880" s="28"/>
      <c r="F880" s="28"/>
      <c r="H880" s="17"/>
      <c r="I880" s="17"/>
      <c r="J880" s="17"/>
      <c r="K880" s="17"/>
      <c r="L880" s="17"/>
      <c r="M880" s="17"/>
      <c r="Y880" s="4" t="s">
        <v>177</v>
      </c>
      <c r="Z880" s="4" t="s">
        <v>217</v>
      </c>
      <c r="AA880" s="4"/>
    </row>
    <row r="881" spans="4:27" ht="15">
      <c r="D881" s="28"/>
      <c r="E881" s="28"/>
      <c r="F881" s="28"/>
      <c r="H881" s="17"/>
      <c r="I881" s="17"/>
      <c r="J881" s="17"/>
      <c r="K881" s="17"/>
      <c r="L881" s="17"/>
      <c r="M881" s="17"/>
      <c r="Y881" s="4" t="s">
        <v>177</v>
      </c>
      <c r="Z881" s="4" t="s">
        <v>217</v>
      </c>
      <c r="AA881" s="4"/>
    </row>
    <row r="882" spans="4:27" ht="15">
      <c r="D882" s="28"/>
      <c r="E882" s="28"/>
      <c r="F882" s="28"/>
      <c r="H882" s="17"/>
      <c r="I882" s="17"/>
      <c r="J882" s="17"/>
      <c r="K882" s="17"/>
      <c r="L882" s="17"/>
      <c r="M882" s="17"/>
      <c r="Y882" s="4" t="s">
        <v>177</v>
      </c>
      <c r="Z882" s="4" t="s">
        <v>270</v>
      </c>
      <c r="AA882" s="4"/>
    </row>
    <row r="883" spans="4:27" ht="15">
      <c r="D883" s="28"/>
      <c r="E883" s="28"/>
      <c r="F883" s="28"/>
      <c r="H883" s="17"/>
      <c r="I883" s="17"/>
      <c r="J883" s="17"/>
      <c r="K883" s="17"/>
      <c r="L883" s="17"/>
      <c r="M883" s="17"/>
      <c r="Y883" s="4" t="s">
        <v>177</v>
      </c>
      <c r="Z883" s="4" t="s">
        <v>270</v>
      </c>
      <c r="AA883" s="4"/>
    </row>
    <row r="884" spans="4:27" ht="15">
      <c r="D884" s="28"/>
      <c r="E884" s="28"/>
      <c r="F884" s="28"/>
      <c r="H884" s="17"/>
      <c r="I884" s="17"/>
      <c r="J884" s="17"/>
      <c r="K884" s="17"/>
      <c r="L884" s="17"/>
      <c r="M884" s="17"/>
      <c r="Y884" s="4" t="s">
        <v>177</v>
      </c>
      <c r="Z884" s="4" t="s">
        <v>270</v>
      </c>
      <c r="AA884" s="4"/>
    </row>
    <row r="885" spans="4:27" ht="15">
      <c r="D885" s="28"/>
      <c r="E885" s="28"/>
      <c r="F885" s="28"/>
      <c r="H885" s="17"/>
      <c r="I885" s="17"/>
      <c r="J885" s="17"/>
      <c r="K885" s="17"/>
      <c r="L885" s="17"/>
      <c r="M885" s="17"/>
      <c r="Y885" s="4" t="s">
        <v>177</v>
      </c>
      <c r="Z885" s="4" t="s">
        <v>219</v>
      </c>
      <c r="AA885" s="4"/>
    </row>
    <row r="886" spans="4:27" ht="15">
      <c r="D886" s="28"/>
      <c r="E886" s="28"/>
      <c r="F886" s="28"/>
      <c r="H886" s="17"/>
      <c r="I886" s="17"/>
      <c r="J886" s="17"/>
      <c r="K886" s="17"/>
      <c r="L886" s="17"/>
      <c r="M886" s="17"/>
      <c r="Y886" s="4" t="s">
        <v>177</v>
      </c>
      <c r="Z886" s="4" t="s">
        <v>221</v>
      </c>
      <c r="AA886" s="4"/>
    </row>
    <row r="887" spans="4:27" ht="15">
      <c r="D887" s="28"/>
      <c r="E887" s="28"/>
      <c r="F887" s="28"/>
      <c r="H887" s="17"/>
      <c r="I887" s="17"/>
      <c r="J887" s="17"/>
      <c r="K887" s="17"/>
      <c r="L887" s="17"/>
      <c r="M887" s="17"/>
      <c r="Y887" s="4" t="s">
        <v>177</v>
      </c>
      <c r="Z887" s="4" t="s">
        <v>221</v>
      </c>
      <c r="AA887" s="4"/>
    </row>
    <row r="888" spans="4:27" ht="15">
      <c r="D888" s="28"/>
      <c r="E888" s="28"/>
      <c r="F888" s="28"/>
      <c r="H888" s="17"/>
      <c r="I888" s="17"/>
      <c r="J888" s="17"/>
      <c r="K888" s="17"/>
      <c r="L888" s="17"/>
      <c r="M888" s="17"/>
      <c r="Y888" s="4" t="s">
        <v>177</v>
      </c>
      <c r="Z888" s="4" t="s">
        <v>221</v>
      </c>
      <c r="AA888" s="4"/>
    </row>
    <row r="889" spans="4:27" ht="15">
      <c r="D889" s="28"/>
      <c r="E889" s="28"/>
      <c r="F889" s="28"/>
      <c r="H889" s="17"/>
      <c r="I889" s="17"/>
      <c r="J889" s="17"/>
      <c r="K889" s="17"/>
      <c r="L889" s="17"/>
      <c r="M889" s="17"/>
      <c r="Y889" s="4" t="s">
        <v>177</v>
      </c>
      <c r="Z889" s="4" t="s">
        <v>222</v>
      </c>
      <c r="AA889" s="4"/>
    </row>
    <row r="890" spans="4:27" ht="15">
      <c r="D890" s="28"/>
      <c r="E890" s="28"/>
      <c r="F890" s="28"/>
      <c r="H890" s="17"/>
      <c r="I890" s="17"/>
      <c r="J890" s="17"/>
      <c r="K890" s="17"/>
      <c r="L890" s="17"/>
      <c r="M890" s="17"/>
      <c r="Y890" s="4" t="s">
        <v>177</v>
      </c>
      <c r="Z890" s="4" t="s">
        <v>222</v>
      </c>
      <c r="AA890" s="4"/>
    </row>
    <row r="891" spans="4:27" ht="15">
      <c r="D891" s="28"/>
      <c r="E891" s="28"/>
      <c r="F891" s="28"/>
      <c r="H891" s="17"/>
      <c r="I891" s="17"/>
      <c r="J891" s="17"/>
      <c r="K891" s="17"/>
      <c r="L891" s="17"/>
      <c r="M891" s="17"/>
      <c r="Y891" s="4" t="s">
        <v>177</v>
      </c>
      <c r="Z891" s="4" t="s">
        <v>222</v>
      </c>
      <c r="AA891" s="4"/>
    </row>
    <row r="892" spans="4:27" ht="15">
      <c r="D892" s="28"/>
      <c r="E892" s="28"/>
      <c r="F892" s="28"/>
      <c r="H892" s="17"/>
      <c r="I892" s="17"/>
      <c r="J892" s="17"/>
      <c r="K892" s="17"/>
      <c r="L892" s="17"/>
      <c r="M892" s="17"/>
      <c r="Y892" s="4" t="s">
        <v>177</v>
      </c>
      <c r="Z892" s="4" t="s">
        <v>223</v>
      </c>
      <c r="AA892" s="4"/>
    </row>
    <row r="893" spans="4:27" ht="15">
      <c r="D893" s="28"/>
      <c r="E893" s="28"/>
      <c r="F893" s="28"/>
      <c r="H893" s="17"/>
      <c r="I893" s="17"/>
      <c r="J893" s="17"/>
      <c r="K893" s="17"/>
      <c r="L893" s="17"/>
      <c r="M893" s="17"/>
      <c r="Y893" s="4" t="s">
        <v>177</v>
      </c>
      <c r="Z893" s="4" t="s">
        <v>223</v>
      </c>
      <c r="AA893" s="4"/>
    </row>
    <row r="894" spans="4:27" ht="15">
      <c r="D894" s="28"/>
      <c r="E894" s="28"/>
      <c r="F894" s="28"/>
      <c r="H894" s="17"/>
      <c r="I894" s="17"/>
      <c r="J894" s="17"/>
      <c r="K894" s="17"/>
      <c r="L894" s="17"/>
      <c r="M894" s="17"/>
      <c r="Y894" s="4" t="s">
        <v>177</v>
      </c>
      <c r="Z894" s="4" t="s">
        <v>223</v>
      </c>
      <c r="AA894" s="4"/>
    </row>
    <row r="895" spans="4:27" ht="15">
      <c r="D895" s="28"/>
      <c r="E895" s="28"/>
      <c r="F895" s="28"/>
      <c r="H895" s="17"/>
      <c r="I895" s="17"/>
      <c r="J895" s="17"/>
      <c r="K895" s="17"/>
      <c r="L895" s="17"/>
      <c r="M895" s="17"/>
      <c r="Y895" s="4" t="s">
        <v>177</v>
      </c>
      <c r="Z895" s="4" t="s">
        <v>271</v>
      </c>
      <c r="AA895" s="4"/>
    </row>
    <row r="896" spans="4:27" ht="15">
      <c r="D896" s="28"/>
      <c r="E896" s="28"/>
      <c r="F896" s="28"/>
      <c r="H896" s="17"/>
      <c r="I896" s="17"/>
      <c r="J896" s="17"/>
      <c r="K896" s="17"/>
      <c r="L896" s="17"/>
      <c r="M896" s="17"/>
      <c r="Y896" s="4" t="s">
        <v>177</v>
      </c>
      <c r="Z896" s="4" t="s">
        <v>271</v>
      </c>
      <c r="AA896" s="4"/>
    </row>
    <row r="897" spans="4:27" ht="15">
      <c r="D897" s="28"/>
      <c r="E897" s="28"/>
      <c r="F897" s="28"/>
      <c r="H897" s="17"/>
      <c r="I897" s="17"/>
      <c r="J897" s="17"/>
      <c r="K897" s="17"/>
      <c r="L897" s="17"/>
      <c r="M897" s="17"/>
      <c r="Y897" s="4" t="s">
        <v>177</v>
      </c>
      <c r="Z897" s="4" t="s">
        <v>271</v>
      </c>
      <c r="AA897" s="4"/>
    </row>
    <row r="898" spans="4:27" ht="15">
      <c r="D898" s="28"/>
      <c r="E898" s="28"/>
      <c r="F898" s="28"/>
      <c r="H898" s="17"/>
      <c r="I898" s="17"/>
      <c r="J898" s="17"/>
      <c r="K898" s="17"/>
      <c r="L898" s="17"/>
      <c r="M898" s="17"/>
      <c r="Y898" s="4" t="s">
        <v>177</v>
      </c>
      <c r="Z898" s="4" t="s">
        <v>272</v>
      </c>
      <c r="AA898" s="4"/>
    </row>
    <row r="899" spans="4:27" ht="15">
      <c r="D899" s="28"/>
      <c r="E899" s="28"/>
      <c r="F899" s="28"/>
      <c r="H899" s="17"/>
      <c r="I899" s="17"/>
      <c r="J899" s="17"/>
      <c r="K899" s="17"/>
      <c r="L899" s="17"/>
      <c r="M899" s="17"/>
      <c r="Y899" s="4" t="s">
        <v>177</v>
      </c>
      <c r="Z899" s="4" t="s">
        <v>272</v>
      </c>
      <c r="AA899" s="4"/>
    </row>
    <row r="900" spans="4:27" ht="15">
      <c r="D900" s="28"/>
      <c r="E900" s="28"/>
      <c r="F900" s="28"/>
      <c r="H900" s="17"/>
      <c r="I900" s="17"/>
      <c r="J900" s="17"/>
      <c r="K900" s="17"/>
      <c r="L900" s="17"/>
      <c r="M900" s="17"/>
      <c r="Y900" s="4" t="s">
        <v>177</v>
      </c>
      <c r="Z900" s="4" t="s">
        <v>272</v>
      </c>
      <c r="AA900" s="4"/>
    </row>
    <row r="901" spans="4:27" ht="15">
      <c r="D901" s="28"/>
      <c r="E901" s="28"/>
      <c r="F901" s="28"/>
      <c r="H901" s="17"/>
      <c r="I901" s="17"/>
      <c r="J901" s="17"/>
      <c r="K901" s="17"/>
      <c r="L901" s="17"/>
      <c r="M901" s="17"/>
      <c r="Y901" s="46" t="s">
        <v>177</v>
      </c>
      <c r="Z901" s="46" t="s">
        <v>273</v>
      </c>
      <c r="AA901" s="46"/>
    </row>
    <row r="902" spans="4:27" ht="15">
      <c r="D902" s="28"/>
      <c r="E902" s="28"/>
      <c r="F902" s="28"/>
      <c r="H902" s="17"/>
      <c r="I902" s="17"/>
      <c r="J902" s="17"/>
      <c r="K902" s="17"/>
      <c r="L902" s="17"/>
      <c r="M902" s="17"/>
      <c r="Y902" s="4" t="s">
        <v>177</v>
      </c>
      <c r="Z902" s="4" t="s">
        <v>273</v>
      </c>
      <c r="AA902" s="4"/>
    </row>
    <row r="903" spans="4:27" ht="15">
      <c r="D903" s="28"/>
      <c r="E903" s="28"/>
      <c r="F903" s="28"/>
      <c r="H903" s="17"/>
      <c r="I903" s="17"/>
      <c r="J903" s="17"/>
      <c r="K903" s="17"/>
      <c r="L903" s="17"/>
      <c r="M903" s="17"/>
      <c r="Y903" s="4" t="s">
        <v>177</v>
      </c>
      <c r="Z903" s="4" t="s">
        <v>273</v>
      </c>
      <c r="AA903" s="4"/>
    </row>
    <row r="904" spans="4:27" ht="15">
      <c r="D904" s="28"/>
      <c r="E904" s="28"/>
      <c r="F904" s="28"/>
      <c r="H904" s="17"/>
      <c r="I904" s="17"/>
      <c r="J904" s="17"/>
      <c r="K904" s="17"/>
      <c r="L904" s="17"/>
      <c r="M904" s="17"/>
      <c r="Y904" s="4" t="s">
        <v>177</v>
      </c>
      <c r="Z904" s="4" t="s">
        <v>224</v>
      </c>
      <c r="AA904" s="4"/>
    </row>
    <row r="905" spans="4:27" ht="15">
      <c r="D905" s="28"/>
      <c r="E905" s="28"/>
      <c r="F905" s="28"/>
      <c r="H905" s="17"/>
      <c r="I905" s="17"/>
      <c r="J905" s="17"/>
      <c r="K905" s="17"/>
      <c r="L905" s="17"/>
      <c r="M905" s="17"/>
      <c r="Y905" s="4" t="s">
        <v>177</v>
      </c>
      <c r="Z905" s="4" t="s">
        <v>224</v>
      </c>
      <c r="AA905" s="4"/>
    </row>
    <row r="906" spans="4:27" ht="15">
      <c r="D906" s="28"/>
      <c r="E906" s="28"/>
      <c r="F906" s="28"/>
      <c r="H906" s="17"/>
      <c r="I906" s="17"/>
      <c r="J906" s="17"/>
      <c r="K906" s="17"/>
      <c r="L906" s="17"/>
      <c r="M906" s="17"/>
      <c r="Y906" s="4" t="s">
        <v>177</v>
      </c>
      <c r="Z906" s="4" t="s">
        <v>224</v>
      </c>
      <c r="AA906" s="4"/>
    </row>
    <row r="907" spans="4:27" ht="15">
      <c r="D907" s="28"/>
      <c r="E907" s="28"/>
      <c r="F907" s="28"/>
      <c r="H907" s="17"/>
      <c r="I907" s="17"/>
      <c r="J907" s="17"/>
      <c r="K907" s="17"/>
      <c r="L907" s="17"/>
      <c r="M907" s="17"/>
      <c r="Y907" s="4" t="s">
        <v>177</v>
      </c>
      <c r="Z907" s="4" t="s">
        <v>274</v>
      </c>
      <c r="AA907" s="4"/>
    </row>
    <row r="908" spans="4:27" ht="15">
      <c r="D908" s="28"/>
      <c r="E908" s="28"/>
      <c r="F908" s="28"/>
      <c r="H908" s="17"/>
      <c r="I908" s="17"/>
      <c r="J908" s="17"/>
      <c r="K908" s="17"/>
      <c r="L908" s="17"/>
      <c r="M908" s="17"/>
      <c r="Y908" s="4" t="s">
        <v>177</v>
      </c>
      <c r="Z908" s="4" t="s">
        <v>274</v>
      </c>
      <c r="AA908" s="4"/>
    </row>
    <row r="909" spans="4:27" ht="15">
      <c r="D909" s="28"/>
      <c r="E909" s="28"/>
      <c r="F909" s="28"/>
      <c r="H909" s="17"/>
      <c r="I909" s="17"/>
      <c r="J909" s="17"/>
      <c r="K909" s="17"/>
      <c r="L909" s="17"/>
      <c r="M909" s="17"/>
      <c r="Y909" s="4" t="s">
        <v>177</v>
      </c>
      <c r="Z909" s="4" t="s">
        <v>274</v>
      </c>
      <c r="AA909" s="4"/>
    </row>
    <row r="910" spans="4:27" ht="15">
      <c r="D910" s="28"/>
      <c r="E910" s="28"/>
      <c r="F910" s="28"/>
      <c r="H910" s="17"/>
      <c r="I910" s="17"/>
      <c r="J910" s="17"/>
      <c r="K910" s="17"/>
      <c r="L910" s="17"/>
      <c r="M910" s="17"/>
      <c r="Y910" s="4" t="s">
        <v>177</v>
      </c>
      <c r="Z910" s="4" t="s">
        <v>275</v>
      </c>
      <c r="AA910" s="4"/>
    </row>
    <row r="911" spans="4:27" ht="15">
      <c r="D911" s="28"/>
      <c r="E911" s="28"/>
      <c r="F911" s="28"/>
      <c r="H911" s="17"/>
      <c r="I911" s="17"/>
      <c r="J911" s="17"/>
      <c r="K911" s="17"/>
      <c r="L911" s="17"/>
      <c r="M911" s="17"/>
      <c r="Y911" s="4" t="s">
        <v>177</v>
      </c>
      <c r="Z911" s="4" t="s">
        <v>275</v>
      </c>
      <c r="AA911" s="4"/>
    </row>
    <row r="912" spans="4:27" ht="15">
      <c r="D912" s="28"/>
      <c r="E912" s="28"/>
      <c r="F912" s="28"/>
      <c r="H912" s="17"/>
      <c r="I912" s="17"/>
      <c r="J912" s="17"/>
      <c r="K912" s="17"/>
      <c r="L912" s="17"/>
      <c r="M912" s="17"/>
      <c r="Y912" s="4" t="s">
        <v>177</v>
      </c>
      <c r="Z912" s="4" t="s">
        <v>275</v>
      </c>
      <c r="AA912" s="4"/>
    </row>
    <row r="913" spans="4:27" ht="15">
      <c r="D913" s="28"/>
      <c r="E913" s="28"/>
      <c r="F913" s="28"/>
      <c r="H913" s="17"/>
      <c r="I913" s="17"/>
      <c r="J913" s="17"/>
      <c r="K913" s="17"/>
      <c r="L913" s="17"/>
      <c r="M913" s="17"/>
      <c r="Y913" s="4" t="s">
        <v>177</v>
      </c>
      <c r="Z913" s="4" t="s">
        <v>226</v>
      </c>
      <c r="AA913" s="4"/>
    </row>
    <row r="914" spans="4:27" ht="15">
      <c r="D914" s="28"/>
      <c r="E914" s="28"/>
      <c r="F914" s="28"/>
      <c r="H914" s="17"/>
      <c r="I914" s="17"/>
      <c r="J914" s="17"/>
      <c r="K914" s="17"/>
      <c r="L914" s="17"/>
      <c r="M914" s="17"/>
      <c r="Y914" s="4" t="s">
        <v>177</v>
      </c>
      <c r="Z914" s="4" t="s">
        <v>226</v>
      </c>
      <c r="AA914" s="4"/>
    </row>
    <row r="915" spans="4:27" ht="15">
      <c r="D915" s="28"/>
      <c r="E915" s="28"/>
      <c r="F915" s="28"/>
      <c r="H915" s="17"/>
      <c r="I915" s="17"/>
      <c r="J915" s="17"/>
      <c r="K915" s="17"/>
      <c r="L915" s="17"/>
      <c r="M915" s="17"/>
      <c r="Y915" s="4" t="s">
        <v>177</v>
      </c>
      <c r="Z915" s="4" t="s">
        <v>226</v>
      </c>
      <c r="AA915" s="4"/>
    </row>
    <row r="916" spans="4:27" ht="15">
      <c r="D916" s="28"/>
      <c r="E916" s="28"/>
      <c r="F916" s="28"/>
      <c r="H916" s="17"/>
      <c r="I916" s="17"/>
      <c r="J916" s="17"/>
      <c r="K916" s="17"/>
      <c r="L916" s="17"/>
      <c r="M916" s="17"/>
      <c r="Y916" s="4" t="s">
        <v>177</v>
      </c>
      <c r="Z916" s="4" t="s">
        <v>227</v>
      </c>
      <c r="AA916" s="4"/>
    </row>
    <row r="917" spans="4:27" ht="15">
      <c r="D917" s="28"/>
      <c r="E917" s="28"/>
      <c r="F917" s="28"/>
      <c r="H917" s="17"/>
      <c r="I917" s="17"/>
      <c r="J917" s="17"/>
      <c r="K917" s="17"/>
      <c r="L917" s="17"/>
      <c r="M917" s="17"/>
      <c r="Y917" s="4" t="s">
        <v>177</v>
      </c>
      <c r="Z917" s="4" t="s">
        <v>227</v>
      </c>
      <c r="AA917" s="4"/>
    </row>
    <row r="918" spans="4:27" ht="15">
      <c r="D918" s="28"/>
      <c r="E918" s="28"/>
      <c r="F918" s="28"/>
      <c r="H918" s="17"/>
      <c r="I918" s="17"/>
      <c r="J918" s="17"/>
      <c r="K918" s="17"/>
      <c r="L918" s="17"/>
      <c r="M918" s="17"/>
      <c r="Y918" s="4" t="s">
        <v>177</v>
      </c>
      <c r="Z918" s="4" t="s">
        <v>276</v>
      </c>
      <c r="AA918" s="4"/>
    </row>
    <row r="919" spans="4:27" ht="15">
      <c r="D919" s="28"/>
      <c r="E919" s="28"/>
      <c r="F919" s="28"/>
      <c r="H919" s="17"/>
      <c r="I919" s="17"/>
      <c r="J919" s="17"/>
      <c r="K919" s="17"/>
      <c r="L919" s="17"/>
      <c r="M919" s="17"/>
      <c r="Y919" s="4" t="s">
        <v>177</v>
      </c>
      <c r="Z919" s="4" t="s">
        <v>276</v>
      </c>
      <c r="AA919" s="4"/>
    </row>
    <row r="920" spans="4:27" ht="15">
      <c r="D920" s="28"/>
      <c r="E920" s="28"/>
      <c r="F920" s="28"/>
      <c r="H920" s="17"/>
      <c r="I920" s="17"/>
      <c r="J920" s="17"/>
      <c r="K920" s="17"/>
      <c r="L920" s="17"/>
      <c r="M920" s="17"/>
      <c r="Y920" s="4" t="s">
        <v>177</v>
      </c>
      <c r="Z920" s="4" t="s">
        <v>228</v>
      </c>
      <c r="AA920" s="4"/>
    </row>
    <row r="921" spans="4:27" ht="15">
      <c r="D921" s="28"/>
      <c r="E921" s="28"/>
      <c r="F921" s="28"/>
      <c r="H921" s="17"/>
      <c r="I921" s="17"/>
      <c r="J921" s="17"/>
      <c r="K921" s="17"/>
      <c r="L921" s="17"/>
      <c r="M921" s="17"/>
      <c r="Y921" s="4" t="s">
        <v>177</v>
      </c>
      <c r="Z921" s="4" t="s">
        <v>228</v>
      </c>
      <c r="AA921" s="4"/>
    </row>
    <row r="922" spans="4:27" ht="15">
      <c r="D922" s="28"/>
      <c r="E922" s="28"/>
      <c r="F922" s="28"/>
      <c r="H922" s="17"/>
      <c r="I922" s="17"/>
      <c r="J922" s="17"/>
      <c r="K922" s="17"/>
      <c r="L922" s="17"/>
      <c r="M922" s="17"/>
      <c r="Y922" s="4" t="s">
        <v>177</v>
      </c>
      <c r="Z922" s="4" t="s">
        <v>230</v>
      </c>
      <c r="AA922" s="4"/>
    </row>
    <row r="923" spans="4:27" ht="15">
      <c r="D923" s="28"/>
      <c r="E923" s="28"/>
      <c r="F923" s="28"/>
      <c r="H923" s="17"/>
      <c r="I923" s="17"/>
      <c r="J923" s="17"/>
      <c r="K923" s="17"/>
      <c r="L923" s="17"/>
      <c r="M923" s="17"/>
      <c r="Y923" s="4" t="s">
        <v>177</v>
      </c>
      <c r="Z923" s="4" t="s">
        <v>232</v>
      </c>
      <c r="AA923" s="4"/>
    </row>
    <row r="924" spans="4:27" ht="15">
      <c r="D924" s="28"/>
      <c r="E924" s="28"/>
      <c r="F924" s="28"/>
      <c r="H924" s="17"/>
      <c r="I924" s="17"/>
      <c r="J924" s="17"/>
      <c r="K924" s="17"/>
      <c r="L924" s="17"/>
      <c r="M924" s="17"/>
      <c r="Y924" s="4" t="s">
        <v>177</v>
      </c>
      <c r="Z924" s="4" t="s">
        <v>232</v>
      </c>
      <c r="AA924" s="4"/>
    </row>
    <row r="925" spans="4:27" ht="15">
      <c r="D925" s="28"/>
      <c r="E925" s="28"/>
      <c r="F925" s="28"/>
      <c r="H925" s="17"/>
      <c r="I925" s="17"/>
      <c r="J925" s="17"/>
      <c r="K925" s="17"/>
      <c r="L925" s="17"/>
      <c r="M925" s="17"/>
      <c r="Y925" s="4" t="s">
        <v>177</v>
      </c>
      <c r="Z925" s="4" t="s">
        <v>233</v>
      </c>
      <c r="AA925" s="4"/>
    </row>
    <row r="926" spans="4:27" ht="15">
      <c r="D926" s="28"/>
      <c r="E926" s="28"/>
      <c r="F926" s="28"/>
      <c r="H926" s="17"/>
      <c r="I926" s="17"/>
      <c r="J926" s="17"/>
      <c r="K926" s="17"/>
      <c r="L926" s="17"/>
      <c r="M926" s="17"/>
      <c r="Y926" s="4" t="s">
        <v>177</v>
      </c>
      <c r="Z926" s="4" t="s">
        <v>233</v>
      </c>
      <c r="AA926" s="4"/>
    </row>
    <row r="927" spans="4:27" ht="15">
      <c r="D927" s="28"/>
      <c r="E927" s="28"/>
      <c r="F927" s="28"/>
      <c r="H927" s="17"/>
      <c r="I927" s="17"/>
      <c r="J927" s="17"/>
      <c r="K927" s="17"/>
      <c r="L927" s="17"/>
      <c r="M927" s="17"/>
      <c r="Y927" s="4" t="s">
        <v>177</v>
      </c>
      <c r="Z927" s="4" t="s">
        <v>233</v>
      </c>
      <c r="AA927" s="4"/>
    </row>
    <row r="928" spans="4:27" ht="15">
      <c r="D928" s="28"/>
      <c r="E928" s="28"/>
      <c r="F928" s="28"/>
      <c r="H928" s="17"/>
      <c r="I928" s="17"/>
      <c r="J928" s="17"/>
      <c r="K928" s="17"/>
      <c r="L928" s="17"/>
      <c r="M928" s="17"/>
      <c r="Y928" s="4" t="s">
        <v>177</v>
      </c>
      <c r="Z928" s="4" t="s">
        <v>235</v>
      </c>
      <c r="AA928" s="4"/>
    </row>
    <row r="929" spans="4:27" ht="15">
      <c r="D929" s="28"/>
      <c r="E929" s="28"/>
      <c r="F929" s="28"/>
      <c r="H929" s="17"/>
      <c r="I929" s="17"/>
      <c r="J929" s="17"/>
      <c r="K929" s="17"/>
      <c r="L929" s="17"/>
      <c r="M929" s="17"/>
      <c r="Y929" s="4" t="s">
        <v>177</v>
      </c>
      <c r="Z929" s="4" t="s">
        <v>235</v>
      </c>
      <c r="AA929" s="4"/>
    </row>
    <row r="930" spans="4:27" ht="15">
      <c r="D930" s="28"/>
      <c r="E930" s="28"/>
      <c r="F930" s="28"/>
      <c r="H930" s="17"/>
      <c r="I930" s="17"/>
      <c r="J930" s="17"/>
      <c r="K930" s="17"/>
      <c r="L930" s="17"/>
      <c r="M930" s="17"/>
      <c r="Y930" s="4" t="s">
        <v>177</v>
      </c>
      <c r="Z930" s="4" t="s">
        <v>236</v>
      </c>
      <c r="AA930" s="4"/>
    </row>
    <row r="931" spans="4:27" ht="15">
      <c r="D931" s="28"/>
      <c r="E931" s="28"/>
      <c r="F931" s="28"/>
      <c r="H931" s="17"/>
      <c r="I931" s="17"/>
      <c r="J931" s="17"/>
      <c r="K931" s="17"/>
      <c r="L931" s="17"/>
      <c r="M931" s="17"/>
      <c r="Y931" s="4" t="s">
        <v>177</v>
      </c>
      <c r="Z931" s="4" t="s">
        <v>236</v>
      </c>
      <c r="AA931" s="4"/>
    </row>
    <row r="932" spans="4:27" ht="15">
      <c r="D932" s="28"/>
      <c r="E932" s="28"/>
      <c r="F932" s="28"/>
      <c r="H932" s="17"/>
      <c r="I932" s="17"/>
      <c r="J932" s="17"/>
      <c r="K932" s="17"/>
      <c r="L932" s="17"/>
      <c r="M932" s="17"/>
      <c r="Y932" s="4" t="s">
        <v>177</v>
      </c>
      <c r="Z932" s="4" t="s">
        <v>277</v>
      </c>
      <c r="AA932" s="4"/>
    </row>
    <row r="933" spans="4:27" ht="15">
      <c r="D933" s="28"/>
      <c r="E933" s="28"/>
      <c r="F933" s="28"/>
      <c r="H933" s="17"/>
      <c r="I933" s="17"/>
      <c r="J933" s="17"/>
      <c r="K933" s="17"/>
      <c r="L933" s="17"/>
      <c r="M933" s="17"/>
      <c r="Y933" s="4" t="s">
        <v>177</v>
      </c>
      <c r="Z933" s="4" t="s">
        <v>278</v>
      </c>
      <c r="AA933" s="4"/>
    </row>
    <row r="934" spans="4:27" ht="15">
      <c r="D934" s="28"/>
      <c r="E934" s="28"/>
      <c r="F934" s="28"/>
      <c r="H934" s="17"/>
      <c r="I934" s="17"/>
      <c r="J934" s="17"/>
      <c r="K934" s="17"/>
      <c r="L934" s="17"/>
      <c r="M934" s="17"/>
      <c r="Y934" s="4" t="s">
        <v>177</v>
      </c>
      <c r="Z934" s="4" t="s">
        <v>278</v>
      </c>
      <c r="AA934" s="4"/>
    </row>
    <row r="935" spans="4:27" ht="15">
      <c r="D935" s="28"/>
      <c r="E935" s="28"/>
      <c r="F935" s="28"/>
      <c r="H935" s="17"/>
      <c r="I935" s="17"/>
      <c r="J935" s="17"/>
      <c r="K935" s="17"/>
      <c r="L935" s="17"/>
      <c r="M935" s="17"/>
      <c r="Y935" s="4" t="s">
        <v>177</v>
      </c>
      <c r="Z935" s="4" t="s">
        <v>237</v>
      </c>
      <c r="AA935" s="4"/>
    </row>
    <row r="936" spans="4:27" ht="15">
      <c r="D936" s="28"/>
      <c r="E936" s="28"/>
      <c r="F936" s="28"/>
      <c r="H936" s="17"/>
      <c r="I936" s="17"/>
      <c r="J936" s="17"/>
      <c r="K936" s="17"/>
      <c r="L936" s="17"/>
      <c r="M936" s="17"/>
      <c r="Y936" s="4" t="s">
        <v>177</v>
      </c>
      <c r="Z936" s="4" t="s">
        <v>237</v>
      </c>
      <c r="AA936" s="4"/>
    </row>
    <row r="937" spans="4:27" ht="15">
      <c r="D937" s="28"/>
      <c r="E937" s="28"/>
      <c r="F937" s="28"/>
      <c r="H937" s="17"/>
      <c r="I937" s="17"/>
      <c r="J937" s="17"/>
      <c r="K937" s="17"/>
      <c r="L937" s="17"/>
      <c r="M937" s="17"/>
      <c r="Y937" s="4" t="s">
        <v>177</v>
      </c>
      <c r="Z937" s="4" t="s">
        <v>238</v>
      </c>
      <c r="AA937" s="4"/>
    </row>
    <row r="938" spans="4:27" ht="15">
      <c r="D938" s="28"/>
      <c r="E938" s="28"/>
      <c r="F938" s="28"/>
      <c r="H938" s="17"/>
      <c r="I938" s="17"/>
      <c r="J938" s="17"/>
      <c r="K938" s="17"/>
      <c r="L938" s="17"/>
      <c r="M938" s="17"/>
      <c r="Y938" s="4" t="s">
        <v>177</v>
      </c>
      <c r="Z938" s="4" t="s">
        <v>239</v>
      </c>
      <c r="AA938" s="4"/>
    </row>
    <row r="939" spans="4:27" ht="15">
      <c r="D939" s="28"/>
      <c r="E939" s="28"/>
      <c r="F939" s="28"/>
      <c r="H939" s="17"/>
      <c r="I939" s="17"/>
      <c r="J939" s="17"/>
      <c r="K939" s="17"/>
      <c r="L939" s="17"/>
      <c r="M939" s="17"/>
      <c r="Y939" s="4" t="s">
        <v>177</v>
      </c>
      <c r="Z939" s="4" t="s">
        <v>239</v>
      </c>
      <c r="AA939" s="4"/>
    </row>
    <row r="940" spans="4:27" ht="15">
      <c r="D940" s="28"/>
      <c r="E940" s="28"/>
      <c r="F940" s="28"/>
      <c r="H940" s="17"/>
      <c r="I940" s="17"/>
      <c r="J940" s="17"/>
      <c r="K940" s="17"/>
      <c r="L940" s="17"/>
      <c r="M940" s="17"/>
      <c r="Y940" s="4" t="s">
        <v>177</v>
      </c>
      <c r="Z940" s="4" t="s">
        <v>279</v>
      </c>
      <c r="AA940" s="4"/>
    </row>
    <row r="941" spans="4:27" ht="15">
      <c r="D941" s="28"/>
      <c r="E941" s="28"/>
      <c r="F941" s="28"/>
      <c r="H941" s="17"/>
      <c r="I941" s="17"/>
      <c r="J941" s="17"/>
      <c r="K941" s="17"/>
      <c r="L941" s="17"/>
      <c r="M941" s="17"/>
      <c r="Y941" s="4" t="s">
        <v>177</v>
      </c>
      <c r="Z941" s="4" t="s">
        <v>279</v>
      </c>
      <c r="AA941" s="4"/>
    </row>
    <row r="942" spans="4:27" ht="15">
      <c r="D942" s="28"/>
      <c r="E942" s="28"/>
      <c r="F942" s="28"/>
      <c r="H942" s="17"/>
      <c r="I942" s="17"/>
      <c r="J942" s="17"/>
      <c r="K942" s="17"/>
      <c r="L942" s="17"/>
      <c r="M942" s="17"/>
      <c r="Y942" s="4" t="s">
        <v>177</v>
      </c>
      <c r="Z942" s="4" t="s">
        <v>279</v>
      </c>
      <c r="AA942" s="4"/>
    </row>
    <row r="943" spans="4:27" ht="15">
      <c r="D943" s="28"/>
      <c r="E943" s="28"/>
      <c r="F943" s="28"/>
      <c r="H943" s="17"/>
      <c r="I943" s="17"/>
      <c r="J943" s="17"/>
      <c r="K943" s="17"/>
      <c r="L943" s="17"/>
      <c r="M943" s="17"/>
      <c r="Y943" s="4" t="s">
        <v>177</v>
      </c>
      <c r="Z943" s="4" t="s">
        <v>280</v>
      </c>
      <c r="AA943" s="4"/>
    </row>
    <row r="944" spans="4:27" ht="15">
      <c r="D944" s="28"/>
      <c r="E944" s="28"/>
      <c r="F944" s="28"/>
      <c r="H944" s="17"/>
      <c r="I944" s="17"/>
      <c r="J944" s="17"/>
      <c r="K944" s="17"/>
      <c r="L944" s="17"/>
      <c r="M944" s="17"/>
      <c r="Y944" s="4" t="s">
        <v>177</v>
      </c>
      <c r="Z944" s="4" t="s">
        <v>280</v>
      </c>
      <c r="AA944" s="4"/>
    </row>
    <row r="945" spans="4:27" ht="15">
      <c r="D945" s="28"/>
      <c r="E945" s="28"/>
      <c r="F945" s="28"/>
      <c r="H945" s="17"/>
      <c r="I945" s="17"/>
      <c r="J945" s="17"/>
      <c r="K945" s="17"/>
      <c r="L945" s="17"/>
      <c r="M945" s="17"/>
      <c r="Y945" s="4" t="s">
        <v>177</v>
      </c>
      <c r="Z945" s="4" t="s">
        <v>280</v>
      </c>
      <c r="AA945" s="4"/>
    </row>
    <row r="946" spans="4:27" ht="15">
      <c r="D946" s="28"/>
      <c r="E946" s="28"/>
      <c r="F946" s="28"/>
      <c r="H946" s="17"/>
      <c r="I946" s="17"/>
      <c r="J946" s="17"/>
      <c r="K946" s="17"/>
      <c r="L946" s="17"/>
      <c r="M946" s="17"/>
      <c r="Y946" s="4" t="s">
        <v>177</v>
      </c>
      <c r="Z946" s="4" t="s">
        <v>241</v>
      </c>
      <c r="AA946" s="4"/>
    </row>
    <row r="947" spans="4:27" ht="15">
      <c r="D947" s="28"/>
      <c r="E947" s="28"/>
      <c r="F947" s="28"/>
      <c r="H947" s="17"/>
      <c r="I947" s="17"/>
      <c r="J947" s="17"/>
      <c r="K947" s="17"/>
      <c r="L947" s="17"/>
      <c r="M947" s="17"/>
      <c r="Y947" s="4" t="s">
        <v>177</v>
      </c>
      <c r="Z947" s="4" t="s">
        <v>241</v>
      </c>
      <c r="AA947" s="4"/>
    </row>
    <row r="948" spans="4:27" ht="15">
      <c r="D948" s="28"/>
      <c r="E948" s="28"/>
      <c r="F948" s="28"/>
      <c r="H948" s="17"/>
      <c r="I948" s="17"/>
      <c r="J948" s="17"/>
      <c r="K948" s="17"/>
      <c r="L948" s="17"/>
      <c r="M948" s="17"/>
      <c r="Y948" s="4" t="s">
        <v>177</v>
      </c>
      <c r="Z948" s="4" t="s">
        <v>241</v>
      </c>
      <c r="AA948" s="4"/>
    </row>
    <row r="949" spans="4:27" ht="15">
      <c r="D949" s="28"/>
      <c r="E949" s="28"/>
      <c r="F949" s="28"/>
      <c r="H949" s="17"/>
      <c r="I949" s="17"/>
      <c r="J949" s="17"/>
      <c r="K949" s="17"/>
      <c r="L949" s="17"/>
      <c r="M949" s="17"/>
      <c r="Y949" s="4" t="s">
        <v>177</v>
      </c>
      <c r="Z949" s="4" t="s">
        <v>242</v>
      </c>
      <c r="AA949" s="4"/>
    </row>
    <row r="950" spans="4:27" ht="15">
      <c r="D950" s="28"/>
      <c r="E950" s="28"/>
      <c r="F950" s="28"/>
      <c r="H950" s="17"/>
      <c r="I950" s="17"/>
      <c r="J950" s="17"/>
      <c r="K950" s="17"/>
      <c r="L950" s="17"/>
      <c r="M950" s="17"/>
      <c r="Y950" s="4" t="s">
        <v>177</v>
      </c>
      <c r="Z950" s="4" t="s">
        <v>242</v>
      </c>
      <c r="AA950" s="4"/>
    </row>
    <row r="951" spans="4:27" ht="15">
      <c r="D951" s="28"/>
      <c r="E951" s="28"/>
      <c r="F951" s="28"/>
      <c r="H951" s="17"/>
      <c r="I951" s="17"/>
      <c r="J951" s="17"/>
      <c r="K951" s="17"/>
      <c r="L951" s="17"/>
      <c r="M951" s="17"/>
      <c r="Y951" s="4" t="s">
        <v>177</v>
      </c>
      <c r="Z951" s="4" t="s">
        <v>281</v>
      </c>
      <c r="AA951" s="4"/>
    </row>
    <row r="952" spans="4:27" ht="15">
      <c r="D952" s="28"/>
      <c r="E952" s="28"/>
      <c r="F952" s="28"/>
      <c r="H952" s="17"/>
      <c r="I952" s="17"/>
      <c r="J952" s="17"/>
      <c r="K952" s="17"/>
      <c r="L952" s="17"/>
      <c r="M952" s="17"/>
      <c r="Y952" s="4" t="s">
        <v>177</v>
      </c>
      <c r="Z952" s="4" t="s">
        <v>281</v>
      </c>
      <c r="AA952" s="4"/>
    </row>
    <row r="953" spans="4:27" ht="15">
      <c r="D953" s="28"/>
      <c r="E953" s="28"/>
      <c r="F953" s="28"/>
      <c r="H953" s="17"/>
      <c r="I953" s="17"/>
      <c r="J953" s="17"/>
      <c r="K953" s="17"/>
      <c r="L953" s="17"/>
      <c r="M953" s="17"/>
      <c r="Y953" s="4" t="s">
        <v>177</v>
      </c>
      <c r="Z953" s="4" t="s">
        <v>281</v>
      </c>
      <c r="AA953" s="4"/>
    </row>
    <row r="954" spans="4:27" ht="15">
      <c r="D954" s="28"/>
      <c r="E954" s="28"/>
      <c r="F954" s="28"/>
      <c r="H954" s="17"/>
      <c r="I954" s="17"/>
      <c r="J954" s="17"/>
      <c r="K954" s="17"/>
      <c r="L954" s="17"/>
      <c r="M954" s="17"/>
    </row>
    <row r="955" spans="4:27" ht="15">
      <c r="D955" s="28"/>
      <c r="E955" s="28"/>
      <c r="F955" s="28"/>
      <c r="H955" s="17"/>
      <c r="I955" s="17"/>
      <c r="J955" s="17"/>
      <c r="K955" s="17"/>
      <c r="L955" s="17"/>
      <c r="M955" s="17"/>
    </row>
    <row r="956" spans="4:27" ht="15">
      <c r="D956" s="28"/>
      <c r="E956" s="28"/>
      <c r="F956" s="28"/>
      <c r="H956" s="17"/>
      <c r="I956" s="17"/>
      <c r="J956" s="17"/>
      <c r="K956" s="17"/>
      <c r="L956" s="17"/>
      <c r="M956" s="17"/>
    </row>
    <row r="957" spans="4:27" ht="15">
      <c r="D957" s="28"/>
      <c r="E957" s="28"/>
      <c r="F957" s="28"/>
      <c r="H957" s="17"/>
      <c r="I957" s="17"/>
      <c r="J957" s="17"/>
      <c r="K957" s="17"/>
      <c r="L957" s="17"/>
      <c r="M957" s="17"/>
    </row>
    <row r="958" spans="4:27" ht="15">
      <c r="D958" s="28"/>
      <c r="E958" s="28"/>
      <c r="F958" s="28"/>
      <c r="H958" s="17"/>
      <c r="I958" s="17"/>
      <c r="J958" s="17"/>
      <c r="K958" s="17"/>
      <c r="L958" s="17"/>
      <c r="M958" s="17"/>
    </row>
    <row r="959" spans="4:27" ht="15">
      <c r="D959" s="28"/>
      <c r="E959" s="28"/>
      <c r="F959" s="28"/>
      <c r="H959" s="17"/>
      <c r="I959" s="17"/>
      <c r="J959" s="17"/>
      <c r="K959" s="17"/>
      <c r="L959" s="17"/>
      <c r="M959" s="17"/>
    </row>
    <row r="960" spans="4:27" ht="15">
      <c r="D960" s="28"/>
      <c r="E960" s="28"/>
      <c r="F960" s="28"/>
      <c r="H960" s="17"/>
      <c r="I960" s="17"/>
      <c r="J960" s="17"/>
      <c r="K960" s="17"/>
      <c r="L960" s="17"/>
      <c r="M960" s="17"/>
    </row>
    <row r="961" spans="4:13" ht="15">
      <c r="D961" s="28"/>
      <c r="E961" s="28"/>
      <c r="F961" s="28"/>
      <c r="H961" s="17"/>
      <c r="I961" s="17"/>
      <c r="J961" s="17"/>
      <c r="K961" s="17"/>
      <c r="L961" s="17"/>
      <c r="M961" s="17"/>
    </row>
    <row r="962" spans="4:13" ht="15">
      <c r="D962" s="28"/>
      <c r="E962" s="28"/>
      <c r="F962" s="28"/>
      <c r="H962" s="17"/>
      <c r="I962" s="17"/>
      <c r="J962" s="17"/>
      <c r="K962" s="17"/>
      <c r="L962" s="17"/>
      <c r="M962" s="17"/>
    </row>
    <row r="963" spans="4:13" ht="15">
      <c r="D963" s="28"/>
      <c r="E963" s="28"/>
      <c r="F963" s="28"/>
      <c r="H963" s="17"/>
      <c r="I963" s="17"/>
      <c r="J963" s="17"/>
      <c r="K963" s="17"/>
      <c r="L963" s="17"/>
      <c r="M963" s="17"/>
    </row>
    <row r="964" spans="4:13" ht="15">
      <c r="D964" s="28"/>
      <c r="E964" s="28"/>
      <c r="F964" s="28"/>
      <c r="H964" s="17"/>
      <c r="I964" s="17"/>
      <c r="J964" s="17"/>
      <c r="K964" s="17"/>
      <c r="L964" s="17"/>
      <c r="M964" s="17"/>
    </row>
    <row r="965" spans="4:13" ht="15">
      <c r="D965" s="28"/>
      <c r="E965" s="28"/>
      <c r="F965" s="28"/>
      <c r="H965" s="17"/>
      <c r="I965" s="17"/>
      <c r="J965" s="17"/>
      <c r="K965" s="17"/>
      <c r="L965" s="17"/>
      <c r="M965" s="17"/>
    </row>
    <row r="966" spans="4:13" ht="15">
      <c r="D966" s="28"/>
      <c r="E966" s="28"/>
      <c r="F966" s="28"/>
      <c r="H966" s="17"/>
      <c r="I966" s="17"/>
      <c r="J966" s="17"/>
      <c r="K966" s="17"/>
      <c r="L966" s="17"/>
      <c r="M966" s="17"/>
    </row>
    <row r="967" spans="4:13" ht="15">
      <c r="D967" s="28"/>
      <c r="E967" s="28"/>
      <c r="F967" s="28"/>
      <c r="H967" s="17"/>
      <c r="I967" s="17"/>
      <c r="J967" s="17"/>
      <c r="K967" s="17"/>
      <c r="L967" s="17"/>
      <c r="M967" s="17"/>
    </row>
    <row r="968" spans="4:13" ht="15">
      <c r="D968" s="28"/>
      <c r="E968" s="28"/>
      <c r="F968" s="28"/>
      <c r="H968" s="17"/>
      <c r="I968" s="17"/>
      <c r="J968" s="17"/>
      <c r="K968" s="17"/>
      <c r="L968" s="17"/>
      <c r="M968" s="17"/>
    </row>
    <row r="969" spans="4:13" ht="15">
      <c r="D969" s="28"/>
      <c r="E969" s="28"/>
      <c r="F969" s="28"/>
      <c r="H969" s="17"/>
      <c r="I969" s="17"/>
      <c r="J969" s="17"/>
      <c r="K969" s="17"/>
      <c r="L969" s="17"/>
      <c r="M969" s="17"/>
    </row>
    <row r="970" spans="4:13" ht="15">
      <c r="D970" s="28"/>
      <c r="E970" s="28"/>
      <c r="F970" s="28"/>
      <c r="H970" s="17"/>
      <c r="I970" s="17"/>
      <c r="J970" s="17"/>
      <c r="K970" s="17"/>
      <c r="L970" s="17"/>
      <c r="M970" s="17"/>
    </row>
    <row r="971" spans="4:13" ht="15">
      <c r="D971" s="28"/>
      <c r="E971" s="28"/>
      <c r="F971" s="28"/>
      <c r="H971" s="17"/>
      <c r="I971" s="17"/>
      <c r="J971" s="17"/>
      <c r="K971" s="17"/>
      <c r="L971" s="17"/>
      <c r="M971" s="17"/>
    </row>
    <row r="972" spans="4:13" ht="15">
      <c r="D972" s="28"/>
      <c r="E972" s="28"/>
      <c r="F972" s="28"/>
      <c r="H972" s="17"/>
      <c r="I972" s="17"/>
      <c r="J972" s="17"/>
      <c r="K972" s="17"/>
      <c r="L972" s="17"/>
      <c r="M972" s="17"/>
    </row>
    <row r="973" spans="4:13" ht="15">
      <c r="D973" s="28"/>
      <c r="E973" s="28"/>
      <c r="F973" s="28"/>
      <c r="H973" s="17"/>
      <c r="I973" s="17"/>
      <c r="J973" s="17"/>
      <c r="K973" s="17"/>
      <c r="L973" s="17"/>
      <c r="M973" s="17"/>
    </row>
    <row r="974" spans="4:13" ht="15">
      <c r="D974" s="28"/>
      <c r="E974" s="28"/>
      <c r="F974" s="28"/>
      <c r="H974" s="17"/>
      <c r="I974" s="17"/>
      <c r="J974" s="17"/>
      <c r="K974" s="17"/>
      <c r="L974" s="17"/>
      <c r="M974" s="17"/>
    </row>
    <row r="975" spans="4:13" ht="15">
      <c r="D975" s="28"/>
      <c r="E975" s="28"/>
      <c r="F975" s="28"/>
      <c r="H975" s="17"/>
      <c r="I975" s="17"/>
      <c r="J975" s="17"/>
      <c r="K975" s="17"/>
      <c r="L975" s="17"/>
      <c r="M975" s="17"/>
    </row>
    <row r="976" spans="4:13" ht="15">
      <c r="D976" s="28"/>
      <c r="E976" s="28"/>
      <c r="F976" s="28"/>
      <c r="H976" s="17"/>
      <c r="I976" s="17"/>
      <c r="J976" s="17"/>
      <c r="K976" s="17"/>
      <c r="L976" s="17"/>
      <c r="M976" s="17"/>
    </row>
    <row r="977" spans="4:13" ht="15">
      <c r="D977" s="28"/>
      <c r="E977" s="28"/>
      <c r="F977" s="28"/>
      <c r="H977" s="17"/>
      <c r="I977" s="17"/>
      <c r="J977" s="17"/>
      <c r="K977" s="17"/>
      <c r="L977" s="17"/>
      <c r="M977" s="17"/>
    </row>
    <row r="978" spans="4:13" ht="15">
      <c r="D978" s="28"/>
      <c r="E978" s="28"/>
      <c r="F978" s="28"/>
      <c r="H978" s="17"/>
      <c r="I978" s="17"/>
      <c r="J978" s="17"/>
      <c r="K978" s="17"/>
      <c r="L978" s="17"/>
      <c r="M978" s="17"/>
    </row>
    <row r="979" spans="4:13" ht="15">
      <c r="D979" s="28"/>
      <c r="E979" s="28"/>
      <c r="F979" s="28"/>
      <c r="H979" s="17"/>
      <c r="I979" s="17"/>
      <c r="J979" s="17"/>
      <c r="K979" s="17"/>
      <c r="L979" s="17"/>
      <c r="M979" s="17"/>
    </row>
    <row r="980" spans="4:13" ht="15">
      <c r="D980" s="28"/>
      <c r="E980" s="28"/>
      <c r="F980" s="28"/>
      <c r="H980" s="17"/>
      <c r="I980" s="17"/>
      <c r="J980" s="17"/>
      <c r="K980" s="17"/>
      <c r="L980" s="17"/>
      <c r="M980" s="17"/>
    </row>
    <row r="981" spans="4:13" ht="15">
      <c r="D981" s="28"/>
      <c r="E981" s="28"/>
      <c r="F981" s="28"/>
      <c r="H981" s="17"/>
      <c r="I981" s="17"/>
      <c r="J981" s="17"/>
      <c r="K981" s="17"/>
      <c r="L981" s="17"/>
      <c r="M981" s="17"/>
    </row>
    <row r="982" spans="4:13" ht="15">
      <c r="D982" s="28"/>
      <c r="E982" s="28"/>
      <c r="F982" s="28"/>
      <c r="H982" s="17"/>
      <c r="I982" s="17"/>
      <c r="J982" s="17"/>
      <c r="K982" s="17"/>
      <c r="L982" s="17"/>
      <c r="M982" s="17"/>
    </row>
    <row r="983" spans="4:13" ht="15">
      <c r="D983" s="28"/>
      <c r="E983" s="28"/>
      <c r="F983" s="28"/>
      <c r="H983" s="17"/>
      <c r="I983" s="17"/>
      <c r="J983" s="17"/>
      <c r="K983" s="17"/>
      <c r="L983" s="17"/>
      <c r="M983" s="17"/>
    </row>
    <row r="984" spans="4:13" ht="15">
      <c r="D984" s="28"/>
      <c r="E984" s="28"/>
      <c r="F984" s="28"/>
      <c r="H984" s="17"/>
      <c r="I984" s="17"/>
      <c r="J984" s="17"/>
      <c r="K984" s="17"/>
      <c r="L984" s="17"/>
      <c r="M984" s="17"/>
    </row>
    <row r="985" spans="4:13" ht="15">
      <c r="D985" s="28"/>
      <c r="E985" s="28"/>
      <c r="F985" s="28"/>
      <c r="H985" s="17"/>
      <c r="I985" s="17"/>
      <c r="J985" s="17"/>
      <c r="K985" s="17"/>
      <c r="L985" s="17"/>
      <c r="M985" s="17"/>
    </row>
    <row r="986" spans="4:13" ht="15">
      <c r="D986" s="28"/>
      <c r="E986" s="28"/>
      <c r="F986" s="28"/>
      <c r="H986" s="17"/>
      <c r="I986" s="17"/>
      <c r="J986" s="17"/>
      <c r="K986" s="17"/>
      <c r="L986" s="17"/>
      <c r="M986" s="17"/>
    </row>
    <row r="987" spans="4:13" ht="15">
      <c r="D987" s="28"/>
      <c r="E987" s="28"/>
      <c r="F987" s="28"/>
      <c r="H987" s="17"/>
      <c r="I987" s="17"/>
      <c r="J987" s="17"/>
      <c r="K987" s="17"/>
      <c r="L987" s="17"/>
      <c r="M987" s="17"/>
    </row>
    <row r="988" spans="4:13" ht="15">
      <c r="D988" s="28"/>
      <c r="E988" s="28"/>
      <c r="F988" s="28"/>
      <c r="H988" s="17"/>
      <c r="I988" s="17"/>
      <c r="J988" s="17"/>
      <c r="K988" s="17"/>
      <c r="L988" s="17"/>
      <c r="M988" s="17"/>
    </row>
    <row r="989" spans="4:13" ht="15">
      <c r="D989" s="28"/>
      <c r="E989" s="28"/>
      <c r="F989" s="28"/>
      <c r="H989" s="17"/>
      <c r="I989" s="17"/>
      <c r="J989" s="17"/>
      <c r="K989" s="17"/>
      <c r="L989" s="17"/>
      <c r="M989" s="17"/>
    </row>
    <row r="990" spans="4:13" ht="15">
      <c r="D990" s="28"/>
      <c r="E990" s="28"/>
      <c r="F990" s="28"/>
      <c r="H990" s="17"/>
      <c r="I990" s="17"/>
      <c r="J990" s="17"/>
      <c r="K990" s="17"/>
      <c r="L990" s="17"/>
      <c r="M990" s="17"/>
    </row>
    <row r="991" spans="4:13" ht="13">
      <c r="D991" s="28"/>
      <c r="E991" s="28"/>
      <c r="F991" s="28"/>
    </row>
    <row r="992" spans="4:13" ht="13">
      <c r="D992" s="28"/>
      <c r="E992" s="28"/>
      <c r="F992" s="28"/>
    </row>
    <row r="993" spans="4:6" ht="13">
      <c r="D993" s="28"/>
      <c r="E993" s="28"/>
      <c r="F993" s="28"/>
    </row>
    <row r="994" spans="4:6" ht="13">
      <c r="D994" s="28"/>
      <c r="E994" s="28"/>
      <c r="F994" s="28"/>
    </row>
    <row r="995" spans="4:6" ht="13">
      <c r="D995" s="28"/>
      <c r="E995" s="28"/>
      <c r="F995" s="28"/>
    </row>
    <row r="996" spans="4:6" ht="13">
      <c r="D996" s="28"/>
      <c r="E996" s="28"/>
      <c r="F996" s="28"/>
    </row>
    <row r="997" spans="4:6" ht="13">
      <c r="D997" s="28"/>
      <c r="E997" s="28"/>
      <c r="F997" s="28"/>
    </row>
    <row r="998" spans="4:6" ht="13">
      <c r="D998" s="28"/>
      <c r="E998" s="28"/>
      <c r="F998" s="28"/>
    </row>
    <row r="999" spans="4:6" ht="13">
      <c r="D999" s="28"/>
      <c r="E999" s="28"/>
      <c r="F999" s="28"/>
    </row>
    <row r="1000" spans="4:6" ht="13">
      <c r="D1000" s="28"/>
      <c r="E1000" s="28"/>
      <c r="F1000" s="28"/>
    </row>
    <row r="1001" spans="4:6" ht="13">
      <c r="D1001" s="28"/>
      <c r="E1001" s="28"/>
      <c r="F1001" s="28"/>
    </row>
    <row r="1002" spans="4:6" ht="13">
      <c r="D1002" s="28"/>
      <c r="E1002" s="28"/>
      <c r="F1002" s="28"/>
    </row>
    <row r="1003" spans="4:6" ht="13">
      <c r="D1003" s="28"/>
      <c r="E1003" s="28"/>
      <c r="F1003" s="28"/>
    </row>
    <row r="1004" spans="4:6" ht="13">
      <c r="D1004" s="28"/>
      <c r="E1004" s="28"/>
      <c r="F1004" s="28"/>
    </row>
    <row r="1005" spans="4:6" ht="13">
      <c r="D1005" s="28"/>
      <c r="E1005" s="28"/>
      <c r="F1005" s="28"/>
    </row>
    <row r="1006" spans="4:6" ht="13">
      <c r="D1006" s="28"/>
      <c r="E1006" s="28"/>
      <c r="F1006" s="28"/>
    </row>
    <row r="1007" spans="4:6" ht="13">
      <c r="D1007" s="28"/>
      <c r="E1007" s="28"/>
      <c r="F1007" s="28"/>
    </row>
    <row r="1008" spans="4:6" ht="13">
      <c r="D1008" s="28"/>
      <c r="E1008" s="28"/>
      <c r="F1008" s="28"/>
    </row>
    <row r="1009" spans="4:6" ht="13">
      <c r="D1009" s="28"/>
      <c r="E1009" s="28"/>
      <c r="F1009" s="28"/>
    </row>
    <row r="1010" spans="4:6" ht="13">
      <c r="D1010" s="28"/>
      <c r="E1010" s="28"/>
      <c r="F1010" s="28"/>
    </row>
    <row r="1011" spans="4:6" ht="13">
      <c r="D1011" s="28"/>
      <c r="E1011" s="28"/>
      <c r="F1011" s="28"/>
    </row>
    <row r="1012" spans="4:6" ht="13">
      <c r="D1012" s="28"/>
      <c r="E1012" s="28"/>
      <c r="F1012" s="28"/>
    </row>
    <row r="1013" spans="4:6" ht="13">
      <c r="D1013" s="28"/>
      <c r="E1013" s="28"/>
      <c r="F1013" s="28"/>
    </row>
    <row r="1014" spans="4:6" ht="13">
      <c r="D1014" s="28"/>
      <c r="E1014" s="28"/>
      <c r="F1014" s="28"/>
    </row>
    <row r="1015" spans="4:6" ht="13">
      <c r="D1015" s="28"/>
      <c r="E1015" s="28"/>
      <c r="F1015" s="28"/>
    </row>
    <row r="1016" spans="4:6" ht="13">
      <c r="D1016" s="28"/>
      <c r="E1016" s="28"/>
      <c r="F1016" s="28"/>
    </row>
  </sheetData>
  <hyperlinks>
    <hyperlink ref="R80" r:id="rId1" location="Sec12" xr:uid="{00000000-0004-0000-0100-000000000000}"/>
    <hyperlink ref="R81" r:id="rId2" location="Sec7" xr:uid="{00000000-0004-0000-0100-000001000000}"/>
    <hyperlink ref="R82" r:id="rId3" location="Sec7" xr:uid="{00000000-0004-0000-0100-000002000000}"/>
    <hyperlink ref="R83" r:id="rId4" location="Sec7" xr:uid="{00000000-0004-0000-0100-000003000000}"/>
    <hyperlink ref="R84" r:id="rId5" location="Sec7" xr:uid="{00000000-0004-0000-0100-000004000000}"/>
    <hyperlink ref="R85" r:id="rId6" location="Sec7" xr:uid="{00000000-0004-0000-0100-000005000000}"/>
    <hyperlink ref="R86" r:id="rId7" location="s4" xr:uid="{00000000-0004-0000-0100-000006000000}"/>
    <hyperlink ref="R87" r:id="rId8" location="s4" xr:uid="{00000000-0004-0000-0100-000007000000}"/>
    <hyperlink ref="R88" r:id="rId9" xr:uid="{00000000-0004-0000-0100-000008000000}"/>
    <hyperlink ref="R95" r:id="rId10" location="s4" xr:uid="{00000000-0004-0000-0100-000009000000}"/>
    <hyperlink ref="R96" r:id="rId11" location="s4" xr:uid="{00000000-0004-0000-0100-00000A000000}"/>
    <hyperlink ref="R98" r:id="rId12" location="Abs1" xr:uid="{00000000-0004-0000-0100-00000B000000}"/>
    <hyperlink ref="R99" r:id="rId13" xr:uid="{00000000-0004-0000-0100-00000C000000}"/>
    <hyperlink ref="Q100" r:id="rId14" location="t1" xr:uid="{00000000-0004-0000-0100-00000D000000}"/>
    <hyperlink ref="R100" r:id="rId15" location="t1" xr:uid="{00000000-0004-0000-0100-00000E000000}"/>
    <hyperlink ref="Q101" r:id="rId16" location="s4" xr:uid="{00000000-0004-0000-0100-00000F000000}"/>
    <hyperlink ref="R101" r:id="rId17" location="s4" xr:uid="{00000000-0004-0000-0100-000010000000}"/>
    <hyperlink ref="R102" r:id="rId18" xr:uid="{00000000-0004-0000-0100-000011000000}"/>
    <hyperlink ref="R103" r:id="rId19" xr:uid="{00000000-0004-0000-0100-000012000000}"/>
    <hyperlink ref="R104" r:id="rId20" xr:uid="{00000000-0004-0000-0100-000013000000}"/>
    <hyperlink ref="R105" r:id="rId21" xr:uid="{00000000-0004-0000-0100-000014000000}"/>
    <hyperlink ref="R106" r:id="rId22" xr:uid="{00000000-0004-0000-0100-000015000000}"/>
    <hyperlink ref="R107" r:id="rId23" xr:uid="{00000000-0004-0000-0100-000016000000}"/>
    <hyperlink ref="R108" r:id="rId24" xr:uid="{00000000-0004-0000-0100-000017000000}"/>
    <hyperlink ref="R109" r:id="rId25" xr:uid="{00000000-0004-0000-0100-000018000000}"/>
    <hyperlink ref="R110" r:id="rId26" xr:uid="{00000000-0004-0000-0100-000019000000}"/>
    <hyperlink ref="R111" r:id="rId27" xr:uid="{00000000-0004-0000-0100-00001A000000}"/>
  </hyperlinks>
  <pageMargins left="0.7" right="0.7" top="0.75" bottom="0.75" header="0.3" footer="0.3"/>
  <tableParts count="2">
    <tablePart r:id="rId28"/>
    <tablePart r:id="rId2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W1025"/>
  <sheetViews>
    <sheetView tabSelected="1" topLeftCell="V1" workbookViewId="0">
      <pane ySplit="1" topLeftCell="A2" activePane="bottomLeft" state="frozen"/>
      <selection pane="bottomLeft" activeCell="AC11" sqref="AC11"/>
    </sheetView>
  </sheetViews>
  <sheetFormatPr baseColWidth="10" defaultColWidth="12.6640625" defaultRowHeight="15.75" customHeight="1"/>
  <cols>
    <col min="1" max="1" width="17.83203125" customWidth="1"/>
    <col min="2" max="6" width="17.1640625" customWidth="1"/>
    <col min="7" max="8" width="9.33203125" customWidth="1"/>
    <col min="9" max="9" width="14" customWidth="1"/>
    <col min="10" max="10" width="11.6640625" customWidth="1"/>
    <col min="11" max="11" width="18.33203125" customWidth="1"/>
    <col min="12" max="12" width="17.33203125" customWidth="1"/>
    <col min="13" max="13" width="9.1640625" customWidth="1"/>
    <col min="14" max="14" width="12.6640625" customWidth="1"/>
    <col min="15" max="15" width="17.5" customWidth="1"/>
    <col min="16" max="16" width="31.1640625" customWidth="1"/>
    <col min="17" max="17" width="11.1640625" customWidth="1"/>
    <col min="18" max="18" width="37.6640625" customWidth="1"/>
    <col min="19" max="23" width="17.6640625" customWidth="1"/>
    <col min="24" max="26" width="11.83203125" customWidth="1"/>
    <col min="27" max="27" width="17.6640625" customWidth="1"/>
    <col min="29" max="29" width="22.6640625" customWidth="1"/>
    <col min="30" max="30" width="15.5" customWidth="1"/>
    <col min="32" max="32" width="19.6640625" customWidth="1"/>
    <col min="33" max="33" width="18.6640625" customWidth="1"/>
    <col min="34" max="34" width="22" customWidth="1"/>
    <col min="39" max="39" width="11.6640625" customWidth="1"/>
  </cols>
  <sheetData>
    <row r="1" spans="1:49" ht="22.5" customHeight="1">
      <c r="A1" s="47" t="s">
        <v>282</v>
      </c>
      <c r="B1" s="48" t="s">
        <v>283</v>
      </c>
      <c r="C1" s="48" t="s">
        <v>284</v>
      </c>
      <c r="D1" s="48" t="s">
        <v>285</v>
      </c>
      <c r="E1" s="48" t="s">
        <v>286</v>
      </c>
      <c r="F1" s="48" t="s">
        <v>287</v>
      </c>
      <c r="G1" s="48" t="s">
        <v>288</v>
      </c>
      <c r="H1" s="49" t="s">
        <v>289</v>
      </c>
      <c r="I1" s="49" t="s">
        <v>290</v>
      </c>
      <c r="J1" s="49" t="s">
        <v>291</v>
      </c>
      <c r="K1" s="50" t="s">
        <v>292</v>
      </c>
      <c r="L1" s="50" t="s">
        <v>293</v>
      </c>
      <c r="M1" s="47" t="s">
        <v>294</v>
      </c>
      <c r="N1" s="51" t="s">
        <v>295</v>
      </c>
      <c r="O1" s="51" t="s">
        <v>296</v>
      </c>
      <c r="P1" s="50" t="s">
        <v>297</v>
      </c>
      <c r="Q1" s="47" t="s">
        <v>298</v>
      </c>
      <c r="R1" s="47" t="s">
        <v>299</v>
      </c>
      <c r="S1" s="47" t="s">
        <v>342</v>
      </c>
      <c r="T1" s="50" t="s">
        <v>341</v>
      </c>
      <c r="U1" s="50" t="s">
        <v>343</v>
      </c>
      <c r="V1" s="50" t="s">
        <v>344</v>
      </c>
      <c r="W1" s="52" t="s">
        <v>345</v>
      </c>
      <c r="X1" s="50" t="s">
        <v>346</v>
      </c>
      <c r="Y1" s="50" t="s">
        <v>301</v>
      </c>
      <c r="Z1" s="47" t="s">
        <v>302</v>
      </c>
      <c r="AA1" s="47" t="s">
        <v>303</v>
      </c>
      <c r="AB1" s="47" t="s">
        <v>304</v>
      </c>
      <c r="AC1" s="47" t="s">
        <v>347</v>
      </c>
      <c r="AD1" s="47" t="s">
        <v>305</v>
      </c>
      <c r="AE1" s="47" t="s">
        <v>306</v>
      </c>
      <c r="AF1" s="47" t="s">
        <v>307</v>
      </c>
      <c r="AG1" s="47" t="s">
        <v>308</v>
      </c>
      <c r="AH1" s="49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</row>
    <row r="2" spans="1:49" ht="22.5" customHeight="1">
      <c r="A2" s="54">
        <v>1</v>
      </c>
      <c r="B2" s="55">
        <v>46119</v>
      </c>
      <c r="C2" s="56">
        <f t="shared" ref="C2:C197" si="0">B2+27</f>
        <v>46146</v>
      </c>
      <c r="D2" s="57">
        <v>46119</v>
      </c>
      <c r="E2" s="57">
        <v>46152</v>
      </c>
      <c r="F2" s="58" t="s">
        <v>309</v>
      </c>
      <c r="G2" s="17" t="s">
        <v>310</v>
      </c>
      <c r="H2" s="58" t="s">
        <v>34</v>
      </c>
      <c r="I2" s="58" t="s">
        <v>311</v>
      </c>
      <c r="J2" s="54">
        <v>56022</v>
      </c>
      <c r="K2" s="59" t="s">
        <v>312</v>
      </c>
      <c r="L2" s="60" t="s">
        <v>35</v>
      </c>
      <c r="M2" s="59" t="s">
        <v>313</v>
      </c>
      <c r="N2" s="61">
        <v>46113</v>
      </c>
      <c r="O2" s="17" t="s">
        <v>23</v>
      </c>
      <c r="P2" s="17" t="s">
        <v>314</v>
      </c>
      <c r="Q2" s="59" t="s">
        <v>60</v>
      </c>
      <c r="R2" s="17" t="s">
        <v>315</v>
      </c>
      <c r="S2" s="17">
        <v>34469735</v>
      </c>
      <c r="T2" s="17" t="s">
        <v>316</v>
      </c>
      <c r="U2" s="17" t="s">
        <v>317</v>
      </c>
      <c r="V2" s="17" t="s">
        <v>318</v>
      </c>
      <c r="W2" s="17" t="s">
        <v>319</v>
      </c>
      <c r="X2" s="17">
        <v>2021</v>
      </c>
      <c r="Y2" s="62">
        <v>0.237039</v>
      </c>
      <c r="Z2" s="59" t="s">
        <v>320</v>
      </c>
      <c r="AA2" s="59" t="s">
        <v>321</v>
      </c>
      <c r="AB2" s="63" t="s">
        <v>322</v>
      </c>
      <c r="AC2" s="59" t="s">
        <v>323</v>
      </c>
      <c r="AD2" s="59" t="s">
        <v>324</v>
      </c>
      <c r="AE2" s="59" t="s">
        <v>324</v>
      </c>
      <c r="AL2" s="3" t="s">
        <v>325</v>
      </c>
      <c r="AM2" s="49" t="s">
        <v>291</v>
      </c>
      <c r="AN2" s="49" t="s">
        <v>300</v>
      </c>
    </row>
    <row r="3" spans="1:49" ht="22.5" customHeight="1">
      <c r="C3" s="59">
        <f t="shared" si="0"/>
        <v>27</v>
      </c>
      <c r="G3" s="63"/>
      <c r="H3" s="63"/>
      <c r="I3" s="23"/>
      <c r="J3" s="63"/>
      <c r="K3" s="17"/>
      <c r="L3" s="53"/>
      <c r="M3" s="53"/>
      <c r="O3" s="63"/>
      <c r="P3" s="64"/>
      <c r="Q3" s="65"/>
      <c r="R3" s="65"/>
      <c r="S3" s="66"/>
      <c r="T3" s="66"/>
      <c r="U3" s="66"/>
      <c r="V3" s="66"/>
      <c r="W3" s="65"/>
      <c r="X3" s="23"/>
      <c r="Y3" s="23"/>
      <c r="Z3" s="23"/>
      <c r="AB3" s="67"/>
      <c r="AL3" s="3">
        <v>103950</v>
      </c>
      <c r="AM3" s="63">
        <v>53344</v>
      </c>
      <c r="AN3" s="63" t="e">
        <f t="shared" ref="AN3:AN198" ca="1" si="1">_xludf.XLOOKUP(AM3,$AL$2:$AL$64, $AK$2:$AK$64)</f>
        <v>#NAME?</v>
      </c>
    </row>
    <row r="4" spans="1:49" ht="22.5" customHeight="1">
      <c r="A4" s="59"/>
      <c r="C4" s="59">
        <f t="shared" si="0"/>
        <v>27</v>
      </c>
      <c r="G4" s="53"/>
      <c r="H4" s="53"/>
      <c r="I4" s="23"/>
      <c r="J4" s="53"/>
      <c r="L4" s="53"/>
      <c r="M4" s="53"/>
      <c r="N4" s="67"/>
      <c r="O4" s="53"/>
      <c r="P4" s="64"/>
      <c r="Q4" s="65"/>
      <c r="R4" s="65"/>
      <c r="S4" s="66"/>
      <c r="T4" s="66"/>
      <c r="U4" s="66"/>
      <c r="V4" s="66"/>
      <c r="W4" s="65"/>
      <c r="AB4" s="63"/>
      <c r="AL4" s="3">
        <v>104474</v>
      </c>
      <c r="AM4" s="63">
        <v>38519</v>
      </c>
      <c r="AN4" s="63" t="e">
        <f t="shared" ca="1" si="1"/>
        <v>#NAME?</v>
      </c>
    </row>
    <row r="5" spans="1:49" ht="22.5" customHeight="1">
      <c r="C5" s="59">
        <f t="shared" si="0"/>
        <v>27</v>
      </c>
      <c r="G5" s="63"/>
      <c r="H5" s="63"/>
      <c r="I5" s="23"/>
      <c r="J5" s="63"/>
      <c r="K5" s="17"/>
      <c r="L5" s="53"/>
      <c r="M5" s="53"/>
      <c r="N5" s="63"/>
      <c r="O5" s="63"/>
      <c r="P5" s="64"/>
      <c r="Q5" s="65"/>
      <c r="R5" s="65"/>
      <c r="S5" s="66"/>
      <c r="T5" s="66"/>
      <c r="U5" s="66"/>
      <c r="V5" s="66"/>
      <c r="W5" s="65"/>
      <c r="X5" s="23"/>
      <c r="Y5" s="23"/>
      <c r="Z5" s="23"/>
      <c r="AB5" s="67"/>
      <c r="AL5" s="3">
        <v>105261</v>
      </c>
      <c r="AM5" s="53">
        <v>43545</v>
      </c>
      <c r="AN5" s="53" t="e">
        <f t="shared" ca="1" si="1"/>
        <v>#NAME?</v>
      </c>
    </row>
    <row r="6" spans="1:49" ht="22.5" customHeight="1">
      <c r="A6" s="59"/>
      <c r="C6" s="59">
        <f t="shared" si="0"/>
        <v>27</v>
      </c>
      <c r="G6" s="53"/>
      <c r="H6" s="53"/>
      <c r="I6" s="23"/>
      <c r="J6" s="53"/>
      <c r="L6" s="53"/>
      <c r="M6" s="53"/>
      <c r="N6" s="67"/>
      <c r="O6" s="53"/>
      <c r="P6" s="64"/>
      <c r="Q6" s="65"/>
      <c r="R6" s="65"/>
      <c r="S6" s="66"/>
      <c r="T6" s="66"/>
      <c r="U6" s="66"/>
      <c r="V6" s="66"/>
      <c r="W6" s="65"/>
      <c r="AB6" s="63"/>
      <c r="AL6" s="3">
        <v>106290</v>
      </c>
      <c r="AM6" s="53">
        <v>64652</v>
      </c>
      <c r="AN6" s="53" t="e">
        <f t="shared" ca="1" si="1"/>
        <v>#NAME?</v>
      </c>
    </row>
    <row r="7" spans="1:49" ht="22.5" customHeight="1">
      <c r="A7" s="59"/>
      <c r="C7" s="59">
        <f t="shared" si="0"/>
        <v>27</v>
      </c>
      <c r="G7" s="53"/>
      <c r="H7" s="53"/>
      <c r="I7" s="23"/>
      <c r="J7" s="53"/>
      <c r="L7" s="53"/>
      <c r="M7" s="53"/>
      <c r="N7" s="67"/>
      <c r="O7" s="53"/>
      <c r="P7" s="64"/>
      <c r="Q7" s="65"/>
      <c r="R7" s="65"/>
      <c r="S7" s="66"/>
      <c r="T7" s="66"/>
      <c r="U7" s="66"/>
      <c r="V7" s="66"/>
      <c r="W7" s="65"/>
      <c r="AB7" s="63"/>
      <c r="AL7" s="3">
        <v>110737</v>
      </c>
      <c r="AM7" s="53">
        <v>36742</v>
      </c>
      <c r="AN7" s="53" t="e">
        <f t="shared" ca="1" si="1"/>
        <v>#NAME?</v>
      </c>
    </row>
    <row r="8" spans="1:49" ht="22.5" customHeight="1">
      <c r="C8" s="59">
        <f t="shared" si="0"/>
        <v>27</v>
      </c>
      <c r="G8" s="63"/>
      <c r="H8" s="63"/>
      <c r="I8" s="23"/>
      <c r="J8" s="63"/>
      <c r="K8" s="17"/>
      <c r="L8" s="53"/>
      <c r="M8" s="53"/>
      <c r="N8" s="63"/>
      <c r="O8" s="63"/>
      <c r="P8" s="64"/>
      <c r="Q8" s="65"/>
      <c r="R8" s="65"/>
      <c r="S8" s="66"/>
      <c r="T8" s="66"/>
      <c r="U8" s="66"/>
      <c r="V8" s="66"/>
      <c r="W8" s="65"/>
      <c r="X8" s="23"/>
      <c r="Y8" s="23"/>
      <c r="Z8" s="23"/>
      <c r="AB8" s="67"/>
      <c r="AL8" s="3" t="s">
        <v>326</v>
      </c>
      <c r="AM8" s="53">
        <v>38519</v>
      </c>
      <c r="AN8" s="53" t="e">
        <f t="shared" ca="1" si="1"/>
        <v>#NAME?</v>
      </c>
    </row>
    <row r="9" spans="1:49" ht="22.5" customHeight="1">
      <c r="A9" s="59"/>
      <c r="B9" s="68"/>
      <c r="C9" s="68">
        <f t="shared" si="0"/>
        <v>27</v>
      </c>
      <c r="D9" s="68"/>
      <c r="E9" s="68"/>
      <c r="F9" s="68"/>
      <c r="G9" s="69"/>
      <c r="H9" s="69"/>
      <c r="I9" s="23"/>
      <c r="J9" s="63"/>
      <c r="K9" s="59"/>
      <c r="L9" s="59"/>
      <c r="M9" s="59"/>
      <c r="N9" s="53"/>
      <c r="O9" s="63"/>
      <c r="P9" s="64"/>
      <c r="Q9" s="65"/>
      <c r="R9" s="65"/>
      <c r="S9" s="66"/>
      <c r="T9" s="66"/>
      <c r="U9" s="66"/>
      <c r="V9" s="66"/>
      <c r="W9" s="65"/>
      <c r="X9" s="23"/>
      <c r="Y9" s="23"/>
      <c r="Z9" s="23"/>
      <c r="AA9" s="59"/>
      <c r="AB9" s="53"/>
      <c r="AC9" s="23"/>
      <c r="AD9" s="59"/>
      <c r="AE9" s="59"/>
      <c r="AF9" s="59"/>
      <c r="AG9" s="59"/>
      <c r="AL9" s="3" t="s">
        <v>327</v>
      </c>
      <c r="AM9" s="53">
        <v>27030</v>
      </c>
      <c r="AN9" s="53" t="e">
        <f t="shared" ca="1" si="1"/>
        <v>#NAME?</v>
      </c>
    </row>
    <row r="10" spans="1:49" ht="22.5" customHeight="1">
      <c r="C10" s="59">
        <f t="shared" si="0"/>
        <v>27</v>
      </c>
      <c r="G10" s="63"/>
      <c r="H10" s="63"/>
      <c r="I10" s="23"/>
      <c r="J10" s="63"/>
      <c r="K10" s="17"/>
      <c r="L10" s="53"/>
      <c r="M10" s="53"/>
      <c r="N10" s="63"/>
      <c r="O10" s="63"/>
      <c r="P10" s="64"/>
      <c r="Q10" s="65"/>
      <c r="R10" s="65"/>
      <c r="S10" s="66"/>
      <c r="T10" s="66"/>
      <c r="U10" s="66"/>
      <c r="V10" s="66"/>
      <c r="W10" s="65"/>
      <c r="X10" s="23"/>
      <c r="Y10" s="23"/>
      <c r="Z10" s="23"/>
      <c r="AB10" s="67"/>
      <c r="AL10" s="3" t="s">
        <v>328</v>
      </c>
      <c r="AM10" s="63">
        <v>35227</v>
      </c>
      <c r="AN10" s="63" t="e">
        <f t="shared" ca="1" si="1"/>
        <v>#NAME?</v>
      </c>
    </row>
    <row r="11" spans="1:49" ht="22.5" customHeight="1">
      <c r="A11" s="59"/>
      <c r="C11" s="59">
        <f t="shared" si="0"/>
        <v>27</v>
      </c>
      <c r="G11" s="53"/>
      <c r="H11" s="53"/>
      <c r="I11" s="23"/>
      <c r="J11" s="53"/>
      <c r="L11" s="53"/>
      <c r="M11" s="53"/>
      <c r="N11" s="67"/>
      <c r="O11" s="53"/>
      <c r="P11" s="64"/>
      <c r="Q11" s="65"/>
      <c r="R11" s="65"/>
      <c r="S11" s="66"/>
      <c r="T11" s="66"/>
      <c r="U11" s="66"/>
      <c r="V11" s="66"/>
      <c r="W11" s="65"/>
      <c r="AB11" s="63"/>
      <c r="AL11" s="3">
        <v>25866</v>
      </c>
      <c r="AM11" s="53">
        <v>77154</v>
      </c>
      <c r="AN11" s="53" t="e">
        <f t="shared" ca="1" si="1"/>
        <v>#NAME?</v>
      </c>
    </row>
    <row r="12" spans="1:49" ht="22.5" customHeight="1">
      <c r="C12" s="59">
        <f t="shared" si="0"/>
        <v>27</v>
      </c>
      <c r="G12" s="63"/>
      <c r="H12" s="63"/>
      <c r="I12" s="23"/>
      <c r="J12" s="63"/>
      <c r="K12" s="17"/>
      <c r="L12" s="53"/>
      <c r="M12" s="53"/>
      <c r="N12" s="63"/>
      <c r="O12" s="63"/>
      <c r="P12" s="64"/>
      <c r="Q12" s="65"/>
      <c r="R12" s="65"/>
      <c r="S12" s="66"/>
      <c r="T12" s="66"/>
      <c r="U12" s="66"/>
      <c r="V12" s="66"/>
      <c r="W12" s="65"/>
      <c r="X12" s="23"/>
      <c r="Y12" s="23"/>
      <c r="Z12" s="23"/>
      <c r="AB12" s="67"/>
      <c r="AL12" s="3" t="s">
        <v>329</v>
      </c>
      <c r="AM12" s="53">
        <v>25866</v>
      </c>
      <c r="AN12" s="53" t="e">
        <f t="shared" ca="1" si="1"/>
        <v>#NAME?</v>
      </c>
    </row>
    <row r="13" spans="1:49" ht="22.5" customHeight="1">
      <c r="C13" s="59">
        <f t="shared" si="0"/>
        <v>27</v>
      </c>
      <c r="G13" s="63"/>
      <c r="H13" s="63"/>
      <c r="I13" s="23"/>
      <c r="J13" s="63"/>
      <c r="K13" s="17"/>
      <c r="L13" s="53"/>
      <c r="M13" s="53"/>
      <c r="N13" s="63"/>
      <c r="O13" s="63"/>
      <c r="P13" s="64"/>
      <c r="Q13" s="65"/>
      <c r="R13" s="65"/>
      <c r="S13" s="66"/>
      <c r="T13" s="66"/>
      <c r="U13" s="66"/>
      <c r="V13" s="66"/>
      <c r="W13" s="65"/>
      <c r="AB13" s="67"/>
      <c r="AL13" s="3">
        <v>27030</v>
      </c>
      <c r="AM13" s="63">
        <v>28635</v>
      </c>
      <c r="AN13" s="63" t="e">
        <f t="shared" ca="1" si="1"/>
        <v>#NAME?</v>
      </c>
    </row>
    <row r="14" spans="1:49" ht="22.5" customHeight="1">
      <c r="A14" s="59"/>
      <c r="C14" s="59">
        <f t="shared" si="0"/>
        <v>27</v>
      </c>
      <c r="G14" s="53"/>
      <c r="H14" s="53"/>
      <c r="I14" s="23"/>
      <c r="J14" s="53"/>
      <c r="L14" s="53"/>
      <c r="M14" s="53"/>
      <c r="N14" s="67"/>
      <c r="O14" s="53"/>
      <c r="P14" s="64"/>
      <c r="Q14" s="65"/>
      <c r="R14" s="65"/>
      <c r="S14" s="66"/>
      <c r="T14" s="66"/>
      <c r="U14" s="66"/>
      <c r="V14" s="66"/>
      <c r="W14" s="65"/>
      <c r="AB14" s="63"/>
      <c r="AL14" s="3">
        <v>28573</v>
      </c>
      <c r="AM14" s="63">
        <v>35142</v>
      </c>
      <c r="AN14" s="63" t="e">
        <f t="shared" ca="1" si="1"/>
        <v>#NAME?</v>
      </c>
    </row>
    <row r="15" spans="1:49" ht="22.5" customHeight="1">
      <c r="A15" s="59"/>
      <c r="C15" s="59">
        <f t="shared" si="0"/>
        <v>27</v>
      </c>
      <c r="G15" s="53"/>
      <c r="H15" s="53"/>
      <c r="I15" s="23"/>
      <c r="J15" s="53"/>
      <c r="L15" s="53"/>
      <c r="M15" s="53"/>
      <c r="N15" s="67"/>
      <c r="O15" s="53"/>
      <c r="P15" s="64"/>
      <c r="Q15" s="65"/>
      <c r="R15" s="65"/>
      <c r="S15" s="66"/>
      <c r="T15" s="66"/>
      <c r="U15" s="66"/>
      <c r="V15" s="66"/>
      <c r="W15" s="66"/>
      <c r="AB15" s="63"/>
      <c r="AL15" s="3">
        <v>28635</v>
      </c>
      <c r="AM15" s="53">
        <v>41644</v>
      </c>
      <c r="AN15" s="53" t="e">
        <f t="shared" ca="1" si="1"/>
        <v>#NAME?</v>
      </c>
    </row>
    <row r="16" spans="1:49" ht="22.5" customHeight="1">
      <c r="C16" s="59">
        <f t="shared" si="0"/>
        <v>27</v>
      </c>
      <c r="G16" s="70"/>
      <c r="H16" s="70"/>
      <c r="I16" s="23"/>
      <c r="J16" s="63"/>
      <c r="K16" s="17"/>
      <c r="L16" s="17"/>
      <c r="M16" s="63"/>
      <c r="N16" s="53"/>
      <c r="O16" s="53"/>
      <c r="P16" s="71"/>
      <c r="Q16" s="72"/>
      <c r="R16" s="72"/>
      <c r="S16" s="66"/>
      <c r="T16" s="66"/>
      <c r="U16" s="66"/>
      <c r="V16" s="66"/>
      <c r="W16" s="65"/>
      <c r="AB16" s="67"/>
      <c r="AL16" s="3" t="s">
        <v>330</v>
      </c>
      <c r="AM16" s="63">
        <v>67158</v>
      </c>
      <c r="AN16" s="63" t="e">
        <f t="shared" ca="1" si="1"/>
        <v>#NAME?</v>
      </c>
    </row>
    <row r="17" spans="1:49" ht="22.5" customHeight="1">
      <c r="C17" s="59">
        <f t="shared" si="0"/>
        <v>27</v>
      </c>
      <c r="G17" s="70"/>
      <c r="H17" s="70"/>
      <c r="I17" s="23"/>
      <c r="J17" s="63"/>
      <c r="K17" s="17"/>
      <c r="L17" s="17"/>
      <c r="M17" s="63"/>
      <c r="N17" s="63"/>
      <c r="O17" s="63"/>
      <c r="P17" s="71"/>
      <c r="Q17" s="72"/>
      <c r="R17" s="72"/>
      <c r="S17" s="66"/>
      <c r="T17" s="66"/>
      <c r="U17" s="66"/>
      <c r="V17" s="66"/>
      <c r="W17" s="65"/>
      <c r="AB17" s="67"/>
      <c r="AL17" s="3">
        <v>31157</v>
      </c>
      <c r="AM17" s="53">
        <v>31157</v>
      </c>
      <c r="AN17" s="53" t="e">
        <f t="shared" ca="1" si="1"/>
        <v>#NAME?</v>
      </c>
    </row>
    <row r="18" spans="1:49" ht="22.5" customHeight="1">
      <c r="A18" s="59"/>
      <c r="C18" s="59">
        <f t="shared" si="0"/>
        <v>27</v>
      </c>
      <c r="G18" s="70"/>
      <c r="H18" s="70"/>
      <c r="I18" s="23"/>
      <c r="J18" s="63"/>
      <c r="K18" s="17"/>
      <c r="L18" s="17"/>
      <c r="N18" s="53"/>
      <c r="O18" s="53"/>
      <c r="P18" s="64"/>
      <c r="Q18" s="65"/>
      <c r="R18" s="65"/>
      <c r="S18" s="66"/>
      <c r="T18" s="66"/>
      <c r="U18" s="66"/>
      <c r="V18" s="66"/>
      <c r="W18" s="65"/>
      <c r="X18" s="23"/>
      <c r="Y18" s="23"/>
      <c r="Z18" s="23"/>
      <c r="AA18" s="59"/>
      <c r="AB18" s="67"/>
      <c r="AD18" s="59"/>
      <c r="AE18" s="59"/>
      <c r="AF18" s="59"/>
      <c r="AG18" s="59"/>
      <c r="AL18" s="3">
        <v>32358</v>
      </c>
      <c r="AM18" s="63">
        <v>36132</v>
      </c>
      <c r="AN18" s="63" t="e">
        <f t="shared" ca="1" si="1"/>
        <v>#NAME?</v>
      </c>
    </row>
    <row r="19" spans="1:49" ht="22.5" customHeight="1">
      <c r="A19" s="59"/>
      <c r="B19" s="73"/>
      <c r="C19" s="73">
        <f t="shared" si="0"/>
        <v>27</v>
      </c>
      <c r="D19" s="73"/>
      <c r="E19" s="73"/>
      <c r="F19" s="73"/>
      <c r="G19" s="74"/>
      <c r="H19" s="74"/>
      <c r="I19" s="23"/>
      <c r="J19" s="63"/>
      <c r="K19" s="59"/>
      <c r="L19" s="59"/>
      <c r="M19" s="59"/>
      <c r="N19" s="53"/>
      <c r="O19" s="63"/>
      <c r="P19" s="64"/>
      <c r="Q19" s="65"/>
      <c r="R19" s="65"/>
      <c r="S19" s="66"/>
      <c r="T19" s="66"/>
      <c r="U19" s="66"/>
      <c r="V19" s="66"/>
      <c r="W19" s="66"/>
      <c r="X19" s="23"/>
      <c r="Y19" s="23"/>
      <c r="Z19" s="23"/>
      <c r="AA19" s="59"/>
      <c r="AB19" s="53"/>
      <c r="AC19" s="23"/>
      <c r="AD19" s="59"/>
      <c r="AE19" s="59"/>
      <c r="AF19" s="59"/>
      <c r="AG19" s="59"/>
      <c r="AL19" s="3">
        <v>33996</v>
      </c>
      <c r="AM19" s="53">
        <v>67772</v>
      </c>
      <c r="AN19" s="53" t="e">
        <f t="shared" ca="1" si="1"/>
        <v>#NAME?</v>
      </c>
    </row>
    <row r="20" spans="1:49" ht="22.5" customHeight="1">
      <c r="A20" s="59"/>
      <c r="B20" s="75"/>
      <c r="C20" s="75">
        <f t="shared" si="0"/>
        <v>27</v>
      </c>
      <c r="D20" s="75"/>
      <c r="E20" s="75"/>
      <c r="F20" s="75"/>
      <c r="G20" s="76"/>
      <c r="H20" s="76"/>
      <c r="I20" s="23"/>
      <c r="J20" s="63"/>
      <c r="K20" s="59"/>
      <c r="L20" s="59"/>
      <c r="M20" s="59"/>
      <c r="N20" s="53"/>
      <c r="O20" s="63"/>
      <c r="P20" s="77"/>
      <c r="Q20" s="65"/>
      <c r="R20" s="65"/>
      <c r="S20" s="66"/>
      <c r="T20" s="66"/>
      <c r="U20" s="66"/>
      <c r="V20" s="66"/>
      <c r="W20" s="65"/>
      <c r="X20" s="23"/>
      <c r="Y20" s="23"/>
      <c r="Z20" s="23"/>
      <c r="AA20" s="59"/>
      <c r="AB20" s="53"/>
      <c r="AC20" s="23"/>
      <c r="AD20" s="59"/>
      <c r="AE20" s="59"/>
      <c r="AF20" s="59"/>
      <c r="AG20" s="59"/>
      <c r="AH20" s="23"/>
      <c r="AI20" s="23"/>
      <c r="AJ20" s="23"/>
      <c r="AL20" s="23">
        <v>34171</v>
      </c>
      <c r="AM20" s="63">
        <v>55683</v>
      </c>
      <c r="AN20" s="63" t="e">
        <f t="shared" ca="1" si="1"/>
        <v>#NAME?</v>
      </c>
      <c r="AO20" s="23"/>
      <c r="AP20" s="23"/>
      <c r="AQ20" s="23"/>
      <c r="AR20" s="23"/>
      <c r="AS20" s="23"/>
      <c r="AT20" s="23"/>
      <c r="AU20" s="23"/>
      <c r="AV20" s="23"/>
      <c r="AW20" s="23"/>
    </row>
    <row r="21" spans="1:49" ht="22.5" customHeight="1">
      <c r="C21" s="59">
        <f t="shared" si="0"/>
        <v>27</v>
      </c>
      <c r="G21" s="70"/>
      <c r="H21" s="70"/>
      <c r="I21" s="23"/>
      <c r="J21" s="63"/>
      <c r="K21" s="17"/>
      <c r="L21" s="17"/>
      <c r="M21" s="63"/>
      <c r="N21" s="63"/>
      <c r="O21" s="63"/>
      <c r="P21" s="71"/>
      <c r="Q21" s="78"/>
      <c r="R21" s="78"/>
      <c r="W21" s="65"/>
      <c r="AB21" s="67"/>
      <c r="AL21" s="3" t="s">
        <v>331</v>
      </c>
      <c r="AM21" s="63">
        <v>33996</v>
      </c>
      <c r="AN21" s="63" t="e">
        <f t="shared" ca="1" si="1"/>
        <v>#NAME?</v>
      </c>
    </row>
    <row r="22" spans="1:49" ht="22.5" customHeight="1">
      <c r="A22" s="59"/>
      <c r="C22" s="59">
        <f t="shared" si="0"/>
        <v>27</v>
      </c>
      <c r="G22" s="53"/>
      <c r="H22" s="53"/>
      <c r="I22" s="23"/>
      <c r="J22" s="53"/>
      <c r="L22" s="53"/>
      <c r="M22" s="53"/>
      <c r="N22" s="67"/>
      <c r="O22" s="53"/>
      <c r="P22" s="64"/>
      <c r="Q22" s="65"/>
      <c r="R22" s="65"/>
      <c r="S22" s="66"/>
      <c r="T22" s="66"/>
      <c r="U22" s="66"/>
      <c r="V22" s="66"/>
      <c r="W22" s="65"/>
      <c r="AB22" s="63"/>
      <c r="AL22" s="3">
        <v>35142</v>
      </c>
      <c r="AM22" s="63">
        <v>60464</v>
      </c>
      <c r="AN22" s="63" t="e">
        <f t="shared" ca="1" si="1"/>
        <v>#NAME?</v>
      </c>
    </row>
    <row r="23" spans="1:49" ht="22.5" customHeight="1">
      <c r="C23" s="59">
        <f t="shared" si="0"/>
        <v>27</v>
      </c>
      <c r="G23" s="53"/>
      <c r="H23" s="53"/>
      <c r="I23" s="59"/>
      <c r="J23" s="63"/>
      <c r="K23" s="17"/>
      <c r="L23" s="23"/>
      <c r="N23" s="63"/>
      <c r="O23" s="63"/>
      <c r="P23" s="71"/>
      <c r="Q23" s="78"/>
      <c r="R23" s="78"/>
      <c r="S23" s="78"/>
      <c r="T23" s="78"/>
      <c r="U23" s="78"/>
      <c r="V23" s="78"/>
      <c r="W23" s="65"/>
      <c r="AB23" s="67"/>
      <c r="AD23" s="63"/>
      <c r="AE23" s="63"/>
      <c r="AF23" s="79"/>
      <c r="AG23" s="79"/>
      <c r="AL23" s="3">
        <v>35227</v>
      </c>
      <c r="AM23" s="53">
        <v>56022</v>
      </c>
      <c r="AN23" s="53" t="e">
        <f t="shared" ca="1" si="1"/>
        <v>#NAME?</v>
      </c>
    </row>
    <row r="24" spans="1:49" ht="22.5" customHeight="1">
      <c r="C24" s="59">
        <f t="shared" si="0"/>
        <v>27</v>
      </c>
      <c r="G24" s="70"/>
      <c r="H24" s="70"/>
      <c r="I24" s="23"/>
      <c r="J24" s="63"/>
      <c r="K24" s="17"/>
      <c r="L24" s="23"/>
      <c r="N24" s="63"/>
      <c r="O24" s="63"/>
      <c r="P24" s="71"/>
      <c r="Q24" s="78"/>
      <c r="R24" s="78"/>
      <c r="S24" s="66"/>
      <c r="T24" s="66"/>
      <c r="U24" s="66"/>
      <c r="V24" s="66"/>
      <c r="W24" s="65"/>
      <c r="AB24" s="67"/>
      <c r="AL24" s="3">
        <v>36132</v>
      </c>
      <c r="AM24" s="63">
        <v>53347</v>
      </c>
      <c r="AN24" s="63" t="e">
        <f t="shared" ca="1" si="1"/>
        <v>#NAME?</v>
      </c>
    </row>
    <row r="25" spans="1:49" ht="22.5" customHeight="1">
      <c r="A25" s="59"/>
      <c r="C25" s="59">
        <f t="shared" si="0"/>
        <v>27</v>
      </c>
      <c r="G25" s="53"/>
      <c r="H25" s="53"/>
      <c r="I25" s="23"/>
      <c r="J25" s="63"/>
      <c r="L25" s="23"/>
      <c r="N25" s="67"/>
      <c r="O25" s="53"/>
      <c r="P25" s="64"/>
      <c r="Q25" s="65"/>
      <c r="R25" s="65"/>
      <c r="S25" s="66"/>
      <c r="T25" s="66"/>
      <c r="U25" s="66"/>
      <c r="V25" s="66"/>
      <c r="W25" s="65"/>
      <c r="AB25" s="63"/>
      <c r="AL25" s="3">
        <v>36625</v>
      </c>
      <c r="AM25" s="63">
        <v>67160</v>
      </c>
      <c r="AN25" s="63" t="e">
        <f t="shared" ca="1" si="1"/>
        <v>#NAME?</v>
      </c>
    </row>
    <row r="26" spans="1:49" ht="22.5" customHeight="1">
      <c r="C26" s="59">
        <f t="shared" si="0"/>
        <v>27</v>
      </c>
      <c r="G26" s="63"/>
      <c r="H26" s="63"/>
      <c r="I26" s="23"/>
      <c r="J26" s="63"/>
      <c r="K26" s="17"/>
      <c r="L26" s="23"/>
      <c r="N26" s="63"/>
      <c r="O26" s="63"/>
      <c r="P26" s="64"/>
      <c r="Q26" s="65"/>
      <c r="R26" s="65"/>
      <c r="S26" s="66"/>
      <c r="T26" s="66"/>
      <c r="U26" s="66"/>
      <c r="V26" s="66"/>
      <c r="W26" s="65"/>
      <c r="AB26" s="67"/>
      <c r="AC26" s="23"/>
      <c r="AL26" s="3">
        <v>36742</v>
      </c>
      <c r="AM26" s="63">
        <v>32358</v>
      </c>
      <c r="AN26" s="63" t="e">
        <f t="shared" ca="1" si="1"/>
        <v>#NAME?</v>
      </c>
    </row>
    <row r="27" spans="1:49" ht="22.5" customHeight="1">
      <c r="C27" s="59">
        <f t="shared" si="0"/>
        <v>27</v>
      </c>
      <c r="G27" s="63"/>
      <c r="H27" s="63"/>
      <c r="I27" s="23"/>
      <c r="J27" s="63"/>
      <c r="K27" s="17"/>
      <c r="L27" s="23"/>
      <c r="N27" s="63"/>
      <c r="O27" s="63"/>
      <c r="P27" s="64"/>
      <c r="Q27" s="65"/>
      <c r="R27" s="65"/>
      <c r="S27" s="66"/>
      <c r="T27" s="66"/>
      <c r="U27" s="66"/>
      <c r="V27" s="66"/>
      <c r="W27" s="65"/>
      <c r="AB27" s="67"/>
      <c r="AC27" s="23"/>
      <c r="AL27" s="3">
        <v>37830</v>
      </c>
      <c r="AM27" s="63">
        <v>67159</v>
      </c>
      <c r="AN27" s="63" t="e">
        <f t="shared" ca="1" si="1"/>
        <v>#NAME?</v>
      </c>
    </row>
    <row r="28" spans="1:49" ht="22.5" customHeight="1">
      <c r="A28" s="59"/>
      <c r="C28" s="59">
        <f t="shared" si="0"/>
        <v>27</v>
      </c>
      <c r="G28" s="53"/>
      <c r="H28" s="53"/>
      <c r="I28" s="23"/>
      <c r="J28" s="53"/>
      <c r="L28" s="23"/>
      <c r="N28" s="67"/>
      <c r="O28" s="53"/>
      <c r="P28" s="64"/>
      <c r="Q28" s="65"/>
      <c r="R28" s="65"/>
      <c r="S28" s="66"/>
      <c r="T28" s="66"/>
      <c r="U28" s="66"/>
      <c r="V28" s="66"/>
      <c r="W28" s="65"/>
      <c r="AB28" s="63"/>
      <c r="AL28" s="3">
        <v>38519</v>
      </c>
      <c r="AM28" s="63">
        <v>55189</v>
      </c>
      <c r="AN28" s="63" t="e">
        <f t="shared" ca="1" si="1"/>
        <v>#NAME?</v>
      </c>
    </row>
    <row r="29" spans="1:49" ht="22.5" customHeight="1">
      <c r="C29" s="59">
        <f t="shared" si="0"/>
        <v>27</v>
      </c>
      <c r="G29" s="80"/>
      <c r="H29" s="80"/>
      <c r="I29" s="23"/>
      <c r="J29" s="63"/>
      <c r="K29" s="17"/>
      <c r="L29" s="23"/>
      <c r="N29" s="63"/>
      <c r="O29" s="63"/>
      <c r="P29" s="64"/>
      <c r="Q29" s="65"/>
      <c r="R29" s="65"/>
      <c r="S29" s="66"/>
      <c r="T29" s="66"/>
      <c r="U29" s="66"/>
      <c r="V29" s="66"/>
      <c r="W29" s="66"/>
      <c r="AB29" s="67"/>
      <c r="AC29" s="23"/>
      <c r="AL29" s="3">
        <v>40478</v>
      </c>
      <c r="AM29" s="81">
        <v>42805</v>
      </c>
      <c r="AN29" s="63" t="e">
        <f t="shared" ca="1" si="1"/>
        <v>#NAME?</v>
      </c>
    </row>
    <row r="30" spans="1:49" ht="22.5" customHeight="1">
      <c r="C30" s="59">
        <f t="shared" si="0"/>
        <v>27</v>
      </c>
      <c r="G30" s="63"/>
      <c r="H30" s="63"/>
      <c r="I30" s="23"/>
      <c r="J30" s="63"/>
      <c r="K30" s="17"/>
      <c r="L30" s="23"/>
      <c r="N30" s="63"/>
      <c r="O30" s="63"/>
      <c r="P30" s="64"/>
      <c r="Q30" s="65"/>
      <c r="R30" s="65"/>
      <c r="S30" s="66"/>
      <c r="T30" s="66"/>
      <c r="U30" s="66"/>
      <c r="V30" s="66"/>
      <c r="W30" s="66"/>
      <c r="X30" s="23"/>
      <c r="Y30" s="23"/>
      <c r="Z30" s="23"/>
      <c r="AB30" s="67"/>
      <c r="AC30" s="23"/>
      <c r="AL30" s="3">
        <v>41644</v>
      </c>
      <c r="AM30" s="63" t="s">
        <v>325</v>
      </c>
      <c r="AN30" s="63" t="e">
        <f t="shared" ca="1" si="1"/>
        <v>#NAME?</v>
      </c>
    </row>
    <row r="31" spans="1:49" ht="22.5" customHeight="1">
      <c r="A31" s="59"/>
      <c r="C31" s="59">
        <f t="shared" si="0"/>
        <v>27</v>
      </c>
      <c r="G31" s="53"/>
      <c r="H31" s="53"/>
      <c r="I31" s="23"/>
      <c r="J31" s="53"/>
      <c r="N31" s="67"/>
      <c r="O31" s="53"/>
      <c r="P31" s="64"/>
      <c r="Q31" s="65"/>
      <c r="R31" s="65"/>
      <c r="S31" s="66"/>
      <c r="T31" s="66"/>
      <c r="U31" s="66"/>
      <c r="V31" s="66"/>
      <c r="W31" s="65"/>
      <c r="AB31" s="63"/>
      <c r="AL31" s="3">
        <v>42651</v>
      </c>
      <c r="AM31" s="63">
        <v>104474</v>
      </c>
      <c r="AN31" s="63" t="e">
        <f t="shared" ca="1" si="1"/>
        <v>#NAME?</v>
      </c>
    </row>
    <row r="32" spans="1:49" ht="22.5" customHeight="1">
      <c r="C32" s="59">
        <f t="shared" si="0"/>
        <v>27</v>
      </c>
      <c r="G32" s="80"/>
      <c r="H32" s="80"/>
      <c r="I32" s="23"/>
      <c r="J32" s="63"/>
      <c r="K32" s="17"/>
      <c r="L32" s="17"/>
      <c r="M32" s="63"/>
      <c r="N32" s="63"/>
      <c r="O32" s="63"/>
      <c r="P32" s="64"/>
      <c r="Q32" s="65"/>
      <c r="R32" s="65"/>
      <c r="S32" s="66"/>
      <c r="T32" s="66"/>
      <c r="U32" s="66"/>
      <c r="V32" s="66"/>
      <c r="W32" s="66"/>
      <c r="AB32" s="67"/>
      <c r="AC32" s="23"/>
      <c r="AL32" s="3">
        <v>42805</v>
      </c>
      <c r="AM32" s="63">
        <v>106290</v>
      </c>
      <c r="AN32" s="63" t="e">
        <f t="shared" ca="1" si="1"/>
        <v>#NAME?</v>
      </c>
    </row>
    <row r="33" spans="1:44" ht="22.5" customHeight="1">
      <c r="B33" s="82"/>
      <c r="C33" s="82">
        <f t="shared" si="0"/>
        <v>27</v>
      </c>
      <c r="D33" s="82"/>
      <c r="E33" s="82"/>
      <c r="F33" s="82"/>
      <c r="G33" s="83"/>
      <c r="H33" s="83"/>
      <c r="I33" s="23"/>
      <c r="J33" s="63"/>
      <c r="K33" s="17"/>
      <c r="L33" s="17"/>
      <c r="M33" s="17"/>
      <c r="N33" s="67"/>
      <c r="O33" s="63"/>
      <c r="P33" s="64"/>
      <c r="Q33" s="65"/>
      <c r="R33" s="84"/>
      <c r="S33" s="66"/>
      <c r="T33" s="66"/>
      <c r="U33" s="66"/>
      <c r="V33" s="66"/>
      <c r="W33" s="66"/>
      <c r="X33" s="23"/>
      <c r="Y33" s="23"/>
      <c r="Z33" s="23"/>
      <c r="AA33" s="59"/>
      <c r="AB33" s="67"/>
      <c r="AC33" s="23"/>
      <c r="AD33" s="59"/>
      <c r="AE33" s="59"/>
      <c r="AF33" s="59"/>
      <c r="AG33" s="59"/>
      <c r="AL33" s="3">
        <v>43235</v>
      </c>
      <c r="AM33" s="63">
        <v>105261</v>
      </c>
      <c r="AN33" s="63" t="e">
        <f t="shared" ca="1" si="1"/>
        <v>#NAME?</v>
      </c>
    </row>
    <row r="34" spans="1:44" ht="22.5" customHeight="1">
      <c r="A34" s="59"/>
      <c r="C34" s="59">
        <f t="shared" si="0"/>
        <v>27</v>
      </c>
      <c r="G34" s="85"/>
      <c r="H34" s="85"/>
      <c r="I34" s="23"/>
      <c r="J34" s="63"/>
      <c r="L34" s="17"/>
      <c r="M34" s="17"/>
      <c r="N34" s="67"/>
      <c r="O34" s="53"/>
      <c r="P34" s="64"/>
      <c r="Q34" s="65"/>
      <c r="R34" s="65"/>
      <c r="S34" s="66"/>
      <c r="T34" s="66"/>
      <c r="U34" s="66"/>
      <c r="V34" s="66"/>
      <c r="W34" s="65"/>
      <c r="AA34" s="59"/>
      <c r="AB34" s="63"/>
      <c r="AD34" s="59"/>
      <c r="AE34" s="59"/>
      <c r="AF34" s="59"/>
      <c r="AG34" s="59"/>
      <c r="AL34" s="3">
        <v>43545</v>
      </c>
      <c r="AM34" s="63">
        <v>5492</v>
      </c>
      <c r="AN34" s="63" t="e">
        <f t="shared" ca="1" si="1"/>
        <v>#NAME?</v>
      </c>
    </row>
    <row r="35" spans="1:44" ht="22.5" customHeight="1">
      <c r="A35" s="59"/>
      <c r="B35" s="63"/>
      <c r="C35" s="63">
        <f t="shared" si="0"/>
        <v>27</v>
      </c>
      <c r="D35" s="63"/>
      <c r="E35" s="63"/>
      <c r="F35" s="63"/>
      <c r="G35" s="63"/>
      <c r="H35" s="63"/>
      <c r="I35" s="86"/>
      <c r="J35" s="63"/>
      <c r="N35" s="53"/>
      <c r="O35" s="63"/>
      <c r="P35" s="77"/>
      <c r="Q35" s="65"/>
      <c r="R35" s="65"/>
      <c r="S35" s="66"/>
      <c r="T35" s="66"/>
      <c r="U35" s="66"/>
      <c r="V35" s="66"/>
      <c r="W35" s="65"/>
      <c r="X35" s="23"/>
      <c r="Y35" s="23"/>
      <c r="Z35" s="23"/>
      <c r="AA35" s="59"/>
      <c r="AB35" s="53"/>
      <c r="AD35" s="59"/>
      <c r="AE35" s="59"/>
      <c r="AF35" s="59"/>
      <c r="AG35" s="59"/>
      <c r="AL35" s="3">
        <v>43641</v>
      </c>
      <c r="AM35" s="63">
        <v>110737</v>
      </c>
      <c r="AN35" s="63" t="e">
        <f t="shared" ca="1" si="1"/>
        <v>#NAME?</v>
      </c>
    </row>
    <row r="36" spans="1:44" ht="22.5" customHeight="1">
      <c r="A36" s="59"/>
      <c r="B36" s="63"/>
      <c r="C36" s="63">
        <f t="shared" si="0"/>
        <v>27</v>
      </c>
      <c r="D36" s="63"/>
      <c r="E36" s="63"/>
      <c r="F36" s="63"/>
      <c r="G36" s="63"/>
      <c r="H36" s="63"/>
      <c r="I36" s="23"/>
      <c r="J36" s="63"/>
      <c r="K36" s="17"/>
      <c r="L36" s="17"/>
      <c r="N36" s="53"/>
      <c r="O36" s="53"/>
      <c r="P36" s="64"/>
      <c r="Q36" s="65"/>
      <c r="R36" s="65"/>
      <c r="S36" s="66"/>
      <c r="T36" s="66"/>
      <c r="U36" s="66"/>
      <c r="V36" s="66"/>
      <c r="W36" s="65"/>
      <c r="X36" s="23"/>
      <c r="Y36" s="23"/>
      <c r="Z36" s="23"/>
      <c r="AA36" s="59"/>
      <c r="AB36" s="67"/>
      <c r="AD36" s="59"/>
      <c r="AE36" s="59"/>
      <c r="AF36" s="59"/>
      <c r="AG36" s="59"/>
      <c r="AL36" s="3">
        <v>53347</v>
      </c>
      <c r="AM36" s="63">
        <v>37830</v>
      </c>
      <c r="AN36" s="63" t="e">
        <f t="shared" ca="1" si="1"/>
        <v>#NAME?</v>
      </c>
    </row>
    <row r="37" spans="1:44" ht="22.5" customHeight="1">
      <c r="A37" s="59"/>
      <c r="B37" s="63"/>
      <c r="C37" s="63">
        <f t="shared" si="0"/>
        <v>27</v>
      </c>
      <c r="D37" s="63"/>
      <c r="E37" s="63"/>
      <c r="F37" s="63"/>
      <c r="G37" s="63"/>
      <c r="H37" s="63"/>
      <c r="I37" s="23"/>
      <c r="J37" s="63"/>
      <c r="K37" s="17"/>
      <c r="L37" s="17"/>
      <c r="N37" s="53"/>
      <c r="O37" s="53"/>
      <c r="P37" s="64"/>
      <c r="Q37" s="65"/>
      <c r="R37" s="65"/>
      <c r="S37" s="66"/>
      <c r="T37" s="66"/>
      <c r="U37" s="66"/>
      <c r="V37" s="66"/>
      <c r="W37" s="65"/>
      <c r="X37" s="23"/>
      <c r="Y37" s="23"/>
      <c r="Z37" s="23"/>
      <c r="AA37" s="59"/>
      <c r="AB37" s="67"/>
      <c r="AD37" s="59"/>
      <c r="AE37" s="59"/>
      <c r="AF37" s="59"/>
      <c r="AG37" s="59"/>
      <c r="AL37" s="3">
        <v>5492</v>
      </c>
      <c r="AM37" s="63">
        <v>37830</v>
      </c>
      <c r="AN37" s="63" t="e">
        <f t="shared" ca="1" si="1"/>
        <v>#NAME?</v>
      </c>
    </row>
    <row r="38" spans="1:44" ht="22.5" customHeight="1">
      <c r="A38" s="59"/>
      <c r="B38" s="63"/>
      <c r="C38" s="63">
        <f t="shared" si="0"/>
        <v>27</v>
      </c>
      <c r="D38" s="63"/>
      <c r="E38" s="63"/>
      <c r="F38" s="63"/>
      <c r="G38" s="63"/>
      <c r="H38" s="63"/>
      <c r="I38" s="86"/>
      <c r="J38" s="63"/>
      <c r="N38" s="53"/>
      <c r="O38" s="63"/>
      <c r="P38" s="77"/>
      <c r="Q38" s="65"/>
      <c r="R38" s="65"/>
      <c r="S38" s="66"/>
      <c r="T38" s="66"/>
      <c r="U38" s="66"/>
      <c r="V38" s="66"/>
      <c r="W38" s="65"/>
      <c r="X38" s="23"/>
      <c r="Y38" s="23"/>
      <c r="Z38" s="23"/>
      <c r="AA38" s="59"/>
      <c r="AB38" s="53"/>
      <c r="AD38" s="59"/>
      <c r="AE38" s="59"/>
      <c r="AF38" s="59"/>
      <c r="AG38" s="59"/>
      <c r="AL38" s="3">
        <v>55189</v>
      </c>
      <c r="AM38" s="63">
        <v>57499</v>
      </c>
      <c r="AN38" s="63" t="e">
        <f t="shared" ca="1" si="1"/>
        <v>#NAME?</v>
      </c>
    </row>
    <row r="39" spans="1:44" ht="22.5" customHeight="1">
      <c r="A39" s="59"/>
      <c r="B39" s="63"/>
      <c r="C39" s="63">
        <f t="shared" si="0"/>
        <v>27</v>
      </c>
      <c r="D39" s="63"/>
      <c r="E39" s="63"/>
      <c r="F39" s="63"/>
      <c r="G39" s="63"/>
      <c r="H39" s="63"/>
      <c r="I39" s="23"/>
      <c r="J39" s="63"/>
      <c r="K39" s="17"/>
      <c r="L39" s="17"/>
      <c r="N39" s="53"/>
      <c r="O39" s="53"/>
      <c r="P39" s="64"/>
      <c r="Q39" s="65"/>
      <c r="R39" s="65"/>
      <c r="S39" s="66"/>
      <c r="T39" s="66"/>
      <c r="U39" s="66"/>
      <c r="V39" s="66"/>
      <c r="W39" s="65"/>
      <c r="X39" s="23"/>
      <c r="Y39" s="23"/>
      <c r="Z39" s="23"/>
      <c r="AA39" s="59"/>
      <c r="AB39" s="67"/>
      <c r="AD39" s="59"/>
      <c r="AE39" s="59"/>
      <c r="AF39" s="59"/>
      <c r="AG39" s="59"/>
      <c r="AL39" s="3">
        <v>55345</v>
      </c>
      <c r="AM39" s="63">
        <v>28573</v>
      </c>
      <c r="AN39" s="63" t="e">
        <f t="shared" ca="1" si="1"/>
        <v>#NAME?</v>
      </c>
    </row>
    <row r="40" spans="1:44" ht="22.5" customHeight="1">
      <c r="A40" s="59"/>
      <c r="B40" s="87"/>
      <c r="C40" s="87">
        <f t="shared" si="0"/>
        <v>27</v>
      </c>
      <c r="D40" s="87"/>
      <c r="E40" s="87"/>
      <c r="F40" s="87"/>
      <c r="G40" s="85"/>
      <c r="H40" s="85"/>
      <c r="I40" s="23"/>
      <c r="J40" s="63"/>
      <c r="M40" s="59"/>
      <c r="N40" s="53"/>
      <c r="O40" s="63"/>
      <c r="P40" s="77"/>
      <c r="Q40" s="65"/>
      <c r="R40" s="65"/>
      <c r="S40" s="66"/>
      <c r="T40" s="66"/>
      <c r="U40" s="66"/>
      <c r="V40" s="66"/>
      <c r="W40" s="65"/>
      <c r="X40" s="23"/>
      <c r="Y40" s="23"/>
      <c r="Z40" s="23"/>
      <c r="AA40" s="59"/>
      <c r="AB40" s="53"/>
      <c r="AC40" s="23"/>
      <c r="AD40" s="59"/>
      <c r="AE40" s="59"/>
      <c r="AF40" s="59"/>
      <c r="AG40" s="59"/>
      <c r="AL40" s="3">
        <v>55683</v>
      </c>
      <c r="AM40" s="63">
        <v>110394</v>
      </c>
      <c r="AN40" s="63" t="e">
        <f t="shared" ca="1" si="1"/>
        <v>#NAME?</v>
      </c>
    </row>
    <row r="41" spans="1:44" ht="22.5" customHeight="1">
      <c r="A41" s="59"/>
      <c r="B41" s="88"/>
      <c r="C41" s="88">
        <f t="shared" si="0"/>
        <v>27</v>
      </c>
      <c r="D41" s="88"/>
      <c r="E41" s="88"/>
      <c r="F41" s="88"/>
      <c r="G41" s="89"/>
      <c r="H41" s="89"/>
      <c r="I41" s="23"/>
      <c r="J41" s="63"/>
      <c r="K41" s="59"/>
      <c r="L41" s="59"/>
      <c r="M41" s="59"/>
      <c r="N41" s="53"/>
      <c r="O41" s="63"/>
      <c r="P41" s="77"/>
      <c r="Q41" s="65"/>
      <c r="R41" s="65"/>
      <c r="S41" s="66"/>
      <c r="T41" s="66"/>
      <c r="U41" s="66"/>
      <c r="V41" s="66"/>
      <c r="W41" s="65"/>
      <c r="X41" s="23"/>
      <c r="Y41" s="23"/>
      <c r="Z41" s="23"/>
      <c r="AA41" s="59"/>
      <c r="AB41" s="53"/>
      <c r="AC41" s="23"/>
      <c r="AD41" s="59"/>
      <c r="AE41" s="59"/>
      <c r="AF41" s="59"/>
      <c r="AG41" s="59"/>
      <c r="AL41" s="3">
        <v>56022</v>
      </c>
      <c r="AM41" s="63">
        <v>103950</v>
      </c>
      <c r="AN41" s="63" t="e">
        <f t="shared" ca="1" si="1"/>
        <v>#NAME?</v>
      </c>
    </row>
    <row r="42" spans="1:44" ht="22.5" customHeight="1">
      <c r="A42" s="59"/>
      <c r="B42" s="63"/>
      <c r="C42" s="63">
        <f t="shared" si="0"/>
        <v>27</v>
      </c>
      <c r="D42" s="63"/>
      <c r="E42" s="63"/>
      <c r="F42" s="63"/>
      <c r="G42" s="63"/>
      <c r="H42" s="63"/>
      <c r="I42" s="23"/>
      <c r="J42" s="63"/>
      <c r="N42" s="53"/>
      <c r="O42" s="53"/>
      <c r="P42" s="64"/>
      <c r="Q42" s="65"/>
      <c r="R42" s="65"/>
      <c r="S42" s="66"/>
      <c r="T42" s="66"/>
      <c r="U42" s="66"/>
      <c r="V42" s="66"/>
      <c r="W42" s="65"/>
      <c r="X42" s="23"/>
      <c r="Y42" s="23"/>
      <c r="Z42" s="23"/>
      <c r="AA42" s="59"/>
      <c r="AB42" s="53"/>
      <c r="AD42" s="59"/>
      <c r="AE42" s="59"/>
      <c r="AF42" s="59"/>
      <c r="AG42" s="59"/>
      <c r="AL42" s="3">
        <v>56885</v>
      </c>
      <c r="AM42" s="63">
        <v>34171</v>
      </c>
      <c r="AN42" s="63" t="e">
        <f t="shared" ca="1" si="1"/>
        <v>#NAME?</v>
      </c>
    </row>
    <row r="43" spans="1:44" ht="22.5" customHeight="1">
      <c r="A43" s="59"/>
      <c r="B43" s="87"/>
      <c r="C43" s="87">
        <f t="shared" si="0"/>
        <v>27</v>
      </c>
      <c r="D43" s="87"/>
      <c r="E43" s="87"/>
      <c r="F43" s="87"/>
      <c r="G43" s="85"/>
      <c r="H43" s="85"/>
      <c r="I43" s="23"/>
      <c r="J43" s="63"/>
      <c r="K43" s="59"/>
      <c r="L43" s="59"/>
      <c r="M43" s="59"/>
      <c r="N43" s="53"/>
      <c r="O43" s="63"/>
      <c r="P43" s="77"/>
      <c r="Q43" s="65"/>
      <c r="R43" s="65"/>
      <c r="S43" s="66"/>
      <c r="T43" s="66"/>
      <c r="U43" s="66"/>
      <c r="V43" s="66"/>
      <c r="W43" s="65"/>
      <c r="X43" s="23"/>
      <c r="Y43" s="23"/>
      <c r="Z43" s="23"/>
      <c r="AA43" s="59"/>
      <c r="AB43" s="53"/>
      <c r="AC43" s="23"/>
      <c r="AD43" s="59"/>
      <c r="AE43" s="59"/>
      <c r="AF43" s="59"/>
      <c r="AG43" s="59"/>
      <c r="AL43" s="3">
        <v>57499</v>
      </c>
      <c r="AM43" s="63">
        <v>12112</v>
      </c>
      <c r="AN43" s="63" t="e">
        <f t="shared" ca="1" si="1"/>
        <v>#NAME?</v>
      </c>
    </row>
    <row r="44" spans="1:44" ht="22.5" customHeight="1">
      <c r="A44" s="59"/>
      <c r="B44" s="88"/>
      <c r="C44" s="88">
        <f t="shared" si="0"/>
        <v>27</v>
      </c>
      <c r="D44" s="88"/>
      <c r="E44" s="88"/>
      <c r="F44" s="88"/>
      <c r="G44" s="89"/>
      <c r="H44" s="89"/>
      <c r="I44" s="23"/>
      <c r="J44" s="63"/>
      <c r="K44" s="59"/>
      <c r="L44" s="59"/>
      <c r="M44" s="59"/>
      <c r="N44" s="53"/>
      <c r="O44" s="63"/>
      <c r="P44" s="77"/>
      <c r="Q44" s="65"/>
      <c r="R44" s="65"/>
      <c r="S44" s="66"/>
      <c r="T44" s="66"/>
      <c r="U44" s="66"/>
      <c r="V44" s="66"/>
      <c r="W44" s="65"/>
      <c r="X44" s="23"/>
      <c r="Y44" s="23"/>
      <c r="Z44" s="23"/>
      <c r="AA44" s="59"/>
      <c r="AB44" s="53"/>
      <c r="AC44" s="23"/>
      <c r="AD44" s="59"/>
      <c r="AE44" s="59"/>
      <c r="AF44" s="59"/>
      <c r="AG44" s="59"/>
      <c r="AL44" s="3">
        <v>60464</v>
      </c>
      <c r="AM44" s="63">
        <v>43197</v>
      </c>
      <c r="AN44" s="63" t="e">
        <f t="shared" ca="1" si="1"/>
        <v>#NAME?</v>
      </c>
    </row>
    <row r="45" spans="1:44" ht="22.5" customHeight="1">
      <c r="A45" s="59"/>
      <c r="B45" s="73"/>
      <c r="C45" s="73">
        <f t="shared" si="0"/>
        <v>27</v>
      </c>
      <c r="D45" s="73"/>
      <c r="E45" s="73"/>
      <c r="F45" s="73"/>
      <c r="G45" s="74"/>
      <c r="H45" s="74"/>
      <c r="I45" s="23"/>
      <c r="J45" s="63"/>
      <c r="K45" s="59"/>
      <c r="L45" s="59"/>
      <c r="M45" s="59"/>
      <c r="N45" s="53"/>
      <c r="O45" s="63"/>
      <c r="P45" s="64"/>
      <c r="Q45" s="65"/>
      <c r="R45" s="65"/>
      <c r="S45" s="66"/>
      <c r="T45" s="66"/>
      <c r="U45" s="66"/>
      <c r="V45" s="66"/>
      <c r="W45" s="66"/>
      <c r="X45" s="23"/>
      <c r="Y45" s="23"/>
      <c r="Z45" s="23"/>
      <c r="AA45" s="59"/>
      <c r="AB45" s="53"/>
      <c r="AC45" s="23"/>
      <c r="AD45" s="59"/>
      <c r="AE45" s="59"/>
      <c r="AF45" s="59"/>
      <c r="AG45" s="59"/>
      <c r="AL45" s="3">
        <v>64652</v>
      </c>
      <c r="AM45" s="63">
        <v>24489</v>
      </c>
      <c r="AN45" s="63" t="e">
        <f t="shared" ca="1" si="1"/>
        <v>#NAME?</v>
      </c>
    </row>
    <row r="46" spans="1:44" ht="22.5" customHeight="1">
      <c r="A46" s="59"/>
      <c r="B46" s="90"/>
      <c r="C46" s="90">
        <f t="shared" si="0"/>
        <v>27</v>
      </c>
      <c r="D46" s="90"/>
      <c r="E46" s="90"/>
      <c r="F46" s="90"/>
      <c r="G46" s="76"/>
      <c r="H46" s="76"/>
      <c r="I46" s="23"/>
      <c r="J46" s="63"/>
      <c r="K46" s="23"/>
      <c r="L46" s="23"/>
      <c r="M46" s="23"/>
      <c r="N46" s="63"/>
      <c r="O46" s="63"/>
      <c r="P46" s="64"/>
      <c r="Q46" s="65"/>
      <c r="R46" s="65"/>
      <c r="S46" s="66"/>
      <c r="T46" s="66"/>
      <c r="U46" s="66"/>
      <c r="V46" s="66"/>
      <c r="W46" s="65"/>
      <c r="X46" s="23"/>
      <c r="Y46" s="23"/>
      <c r="Z46" s="23"/>
      <c r="AA46" s="59"/>
      <c r="AB46" s="53"/>
      <c r="AC46" s="23"/>
      <c r="AD46" s="59"/>
      <c r="AE46" s="59"/>
      <c r="AF46" s="59"/>
      <c r="AG46" s="59"/>
      <c r="AL46" s="3">
        <v>6592</v>
      </c>
      <c r="AM46" s="63">
        <v>41635</v>
      </c>
      <c r="AN46" s="63" t="e">
        <f t="shared" ca="1" si="1"/>
        <v>#NAME?</v>
      </c>
      <c r="AQ46" s="91"/>
      <c r="AR46" s="91"/>
    </row>
    <row r="47" spans="1:44" ht="22.5" customHeight="1">
      <c r="A47" s="59"/>
      <c r="B47" s="90"/>
      <c r="C47" s="90">
        <f t="shared" si="0"/>
        <v>27</v>
      </c>
      <c r="D47" s="90"/>
      <c r="E47" s="90"/>
      <c r="F47" s="90"/>
      <c r="G47" s="76"/>
      <c r="H47" s="76"/>
      <c r="I47" s="23"/>
      <c r="J47" s="63"/>
      <c r="K47" s="63"/>
      <c r="L47" s="63"/>
      <c r="M47" s="63"/>
      <c r="N47" s="63"/>
      <c r="O47" s="63"/>
      <c r="P47" s="64"/>
      <c r="Q47" s="65"/>
      <c r="R47" s="65"/>
      <c r="S47" s="66"/>
      <c r="T47" s="66"/>
      <c r="U47" s="66"/>
      <c r="V47" s="66"/>
      <c r="W47" s="65"/>
      <c r="X47" s="23"/>
      <c r="Y47" s="23"/>
      <c r="Z47" s="23"/>
      <c r="AA47" s="59"/>
      <c r="AB47" s="53"/>
      <c r="AC47" s="23"/>
      <c r="AD47" s="59"/>
      <c r="AE47" s="59"/>
      <c r="AF47" s="59"/>
      <c r="AG47" s="59"/>
      <c r="AL47" s="3">
        <v>67158</v>
      </c>
      <c r="AM47" s="63">
        <v>28583</v>
      </c>
      <c r="AN47" s="63" t="e">
        <f t="shared" ca="1" si="1"/>
        <v>#NAME?</v>
      </c>
      <c r="AQ47" s="4"/>
      <c r="AR47" s="4"/>
    </row>
    <row r="48" spans="1:44" ht="22.5" customHeight="1">
      <c r="B48" s="23"/>
      <c r="C48" s="23">
        <f t="shared" si="0"/>
        <v>27</v>
      </c>
      <c r="D48" s="23"/>
      <c r="E48" s="23"/>
      <c r="F48" s="23"/>
      <c r="G48" s="63"/>
      <c r="H48" s="63"/>
      <c r="I48" s="23"/>
      <c r="J48" s="63"/>
      <c r="K48" s="63"/>
      <c r="L48" s="63"/>
      <c r="M48" s="63"/>
      <c r="N48" s="63"/>
      <c r="O48" s="63"/>
      <c r="P48" s="64"/>
      <c r="Q48" s="65"/>
      <c r="R48" s="65"/>
      <c r="S48" s="66"/>
      <c r="T48" s="66"/>
      <c r="U48" s="66"/>
      <c r="V48" s="66"/>
      <c r="W48" s="65"/>
      <c r="X48" s="23"/>
      <c r="Y48" s="23"/>
      <c r="Z48" s="23"/>
      <c r="AB48" s="53"/>
      <c r="AL48" s="3">
        <v>67159</v>
      </c>
      <c r="AM48" s="63">
        <v>29422</v>
      </c>
      <c r="AN48" s="63" t="e">
        <f t="shared" ca="1" si="1"/>
        <v>#NAME?</v>
      </c>
      <c r="AQ48" s="4"/>
      <c r="AR48" s="4"/>
    </row>
    <row r="49" spans="1:44" ht="22.5" customHeight="1">
      <c r="A49" s="59"/>
      <c r="B49" s="63"/>
      <c r="C49" s="63">
        <f t="shared" si="0"/>
        <v>27</v>
      </c>
      <c r="D49" s="63"/>
      <c r="E49" s="63"/>
      <c r="F49" s="63"/>
      <c r="G49" s="63"/>
      <c r="H49" s="63"/>
      <c r="I49" s="23"/>
      <c r="J49" s="63"/>
      <c r="K49" s="17"/>
      <c r="L49" s="17"/>
      <c r="N49" s="53"/>
      <c r="O49" s="53"/>
      <c r="P49" s="64"/>
      <c r="Q49" s="65"/>
      <c r="R49" s="65"/>
      <c r="S49" s="66"/>
      <c r="T49" s="66"/>
      <c r="U49" s="66"/>
      <c r="V49" s="66"/>
      <c r="W49" s="65"/>
      <c r="X49" s="23"/>
      <c r="Y49" s="23"/>
      <c r="Z49" s="23"/>
      <c r="AA49" s="59"/>
      <c r="AB49" s="67"/>
      <c r="AD49" s="59"/>
      <c r="AE49" s="59"/>
      <c r="AF49" s="59"/>
      <c r="AG49" s="59"/>
      <c r="AL49" s="3">
        <v>67160</v>
      </c>
      <c r="AM49" s="63">
        <v>65223</v>
      </c>
      <c r="AN49" s="63" t="e">
        <f t="shared" ca="1" si="1"/>
        <v>#NAME?</v>
      </c>
      <c r="AQ49" s="4"/>
      <c r="AR49" s="4"/>
    </row>
    <row r="50" spans="1:44" ht="22.5" customHeight="1">
      <c r="B50" s="23"/>
      <c r="C50" s="23">
        <f t="shared" si="0"/>
        <v>27</v>
      </c>
      <c r="D50" s="23"/>
      <c r="E50" s="23"/>
      <c r="F50" s="23"/>
      <c r="G50" s="63"/>
      <c r="H50" s="63"/>
      <c r="I50" s="23"/>
      <c r="J50" s="63"/>
      <c r="K50" s="63"/>
      <c r="L50" s="63"/>
      <c r="M50" s="63"/>
      <c r="N50" s="92"/>
      <c r="O50" s="92"/>
      <c r="P50" s="64"/>
      <c r="Q50" s="65"/>
      <c r="R50" s="65"/>
      <c r="S50" s="66"/>
      <c r="T50" s="66"/>
      <c r="U50" s="66"/>
      <c r="V50" s="66"/>
      <c r="W50" s="65"/>
      <c r="X50" s="23"/>
      <c r="Y50" s="23"/>
      <c r="Z50" s="23"/>
      <c r="AB50" s="53"/>
      <c r="AL50" s="3">
        <v>67772</v>
      </c>
      <c r="AM50" s="63" t="s">
        <v>330</v>
      </c>
      <c r="AN50" s="63" t="e">
        <f t="shared" ca="1" si="1"/>
        <v>#NAME?</v>
      </c>
      <c r="AQ50" s="4"/>
      <c r="AR50" s="4"/>
    </row>
    <row r="51" spans="1:44" ht="22.5" customHeight="1">
      <c r="B51" s="23"/>
      <c r="C51" s="23">
        <f t="shared" si="0"/>
        <v>27</v>
      </c>
      <c r="D51" s="23"/>
      <c r="E51" s="23"/>
      <c r="F51" s="23"/>
      <c r="G51" s="63"/>
      <c r="H51" s="63"/>
      <c r="I51" s="23"/>
      <c r="J51" s="63"/>
      <c r="K51" s="63"/>
      <c r="L51" s="63"/>
      <c r="M51" s="63"/>
      <c r="N51" s="92"/>
      <c r="O51" s="92"/>
      <c r="P51" s="64"/>
      <c r="Q51" s="65"/>
      <c r="R51" s="65"/>
      <c r="S51" s="66"/>
      <c r="T51" s="66"/>
      <c r="U51" s="66"/>
      <c r="V51" s="66"/>
      <c r="W51" s="65"/>
      <c r="X51" s="23"/>
      <c r="Y51" s="23"/>
      <c r="Z51" s="23"/>
      <c r="AB51" s="53"/>
      <c r="AL51" s="3">
        <v>7005</v>
      </c>
      <c r="AM51" s="63">
        <v>43235</v>
      </c>
      <c r="AN51" s="63" t="e">
        <f t="shared" ca="1" si="1"/>
        <v>#NAME?</v>
      </c>
      <c r="AQ51" s="4"/>
      <c r="AR51" s="4"/>
    </row>
    <row r="52" spans="1:44" ht="22.5" customHeight="1">
      <c r="A52" s="59"/>
      <c r="B52" s="90"/>
      <c r="C52" s="90">
        <f t="shared" si="0"/>
        <v>27</v>
      </c>
      <c r="D52" s="90"/>
      <c r="E52" s="90"/>
      <c r="F52" s="90"/>
      <c r="G52" s="76"/>
      <c r="H52" s="76"/>
      <c r="I52" s="23"/>
      <c r="J52" s="63"/>
      <c r="K52" s="63"/>
      <c r="L52" s="63"/>
      <c r="M52" s="63"/>
      <c r="N52" s="63"/>
      <c r="O52" s="63"/>
      <c r="P52" s="64"/>
      <c r="Q52" s="65"/>
      <c r="R52" s="65"/>
      <c r="S52" s="66"/>
      <c r="T52" s="66"/>
      <c r="U52" s="66"/>
      <c r="V52" s="66"/>
      <c r="W52" s="65"/>
      <c r="X52" s="23"/>
      <c r="Y52" s="23"/>
      <c r="Z52" s="23"/>
      <c r="AA52" s="59"/>
      <c r="AB52" s="53"/>
      <c r="AC52" s="23"/>
      <c r="AD52" s="59"/>
      <c r="AE52" s="59"/>
      <c r="AF52" s="59"/>
      <c r="AG52" s="59"/>
      <c r="AL52" s="3">
        <v>7052</v>
      </c>
      <c r="AM52" s="63" t="s">
        <v>327</v>
      </c>
      <c r="AN52" s="63" t="e">
        <f t="shared" ca="1" si="1"/>
        <v>#NAME?</v>
      </c>
      <c r="AQ52" s="4"/>
      <c r="AR52" s="4"/>
    </row>
    <row r="53" spans="1:44" ht="22.5" customHeight="1">
      <c r="B53" s="23"/>
      <c r="C53" s="23">
        <f t="shared" si="0"/>
        <v>27</v>
      </c>
      <c r="D53" s="23"/>
      <c r="E53" s="23"/>
      <c r="F53" s="23"/>
      <c r="G53" s="63"/>
      <c r="H53" s="63"/>
      <c r="I53" s="23"/>
      <c r="J53" s="63"/>
      <c r="K53" s="63"/>
      <c r="L53" s="63"/>
      <c r="M53" s="63"/>
      <c r="N53" s="63"/>
      <c r="O53" s="63"/>
      <c r="P53" s="64"/>
      <c r="Q53" s="65"/>
      <c r="R53" s="65"/>
      <c r="S53" s="66"/>
      <c r="T53" s="66"/>
      <c r="U53" s="66"/>
      <c r="V53" s="66"/>
      <c r="W53" s="65"/>
      <c r="X53" s="23"/>
      <c r="Y53" s="23"/>
      <c r="Z53" s="23"/>
      <c r="AB53" s="53"/>
      <c r="AL53" s="3" t="s">
        <v>332</v>
      </c>
      <c r="AM53" s="63">
        <v>67900</v>
      </c>
      <c r="AN53" s="63" t="e">
        <f t="shared" ca="1" si="1"/>
        <v>#NAME?</v>
      </c>
      <c r="AQ53" s="4"/>
      <c r="AR53" s="4"/>
    </row>
    <row r="54" spans="1:44" ht="22.5" customHeight="1">
      <c r="A54" s="59"/>
      <c r="B54" s="63"/>
      <c r="C54" s="63">
        <f t="shared" si="0"/>
        <v>27</v>
      </c>
      <c r="D54" s="63"/>
      <c r="E54" s="63"/>
      <c r="F54" s="63"/>
      <c r="G54" s="63"/>
      <c r="H54" s="63"/>
      <c r="I54" s="23"/>
      <c r="J54" s="63"/>
      <c r="K54" s="17"/>
      <c r="L54" s="17"/>
      <c r="N54" s="53"/>
      <c r="O54" s="53"/>
      <c r="P54" s="64"/>
      <c r="Q54" s="65"/>
      <c r="R54" s="65"/>
      <c r="S54" s="66"/>
      <c r="T54" s="66"/>
      <c r="U54" s="66"/>
      <c r="V54" s="66"/>
      <c r="W54" s="65"/>
      <c r="X54" s="23"/>
      <c r="Y54" s="23"/>
      <c r="Z54" s="23"/>
      <c r="AA54" s="59"/>
      <c r="AB54" s="67"/>
      <c r="AD54" s="59"/>
      <c r="AE54" s="59"/>
      <c r="AF54" s="59"/>
      <c r="AG54" s="59"/>
      <c r="AL54" s="3">
        <v>77154</v>
      </c>
      <c r="AM54" s="63">
        <v>14462</v>
      </c>
      <c r="AN54" s="63" t="e">
        <f t="shared" ca="1" si="1"/>
        <v>#NAME?</v>
      </c>
      <c r="AQ54" s="4"/>
      <c r="AR54" s="4"/>
    </row>
    <row r="55" spans="1:44" ht="22.5" customHeight="1">
      <c r="A55" s="59"/>
      <c r="B55" s="75"/>
      <c r="C55" s="75">
        <f t="shared" si="0"/>
        <v>27</v>
      </c>
      <c r="D55" s="75"/>
      <c r="E55" s="75"/>
      <c r="F55" s="75"/>
      <c r="G55" s="76"/>
      <c r="H55" s="76"/>
      <c r="I55" s="23"/>
      <c r="J55" s="63"/>
      <c r="K55" s="59"/>
      <c r="L55" s="59"/>
      <c r="M55" s="59"/>
      <c r="N55" s="53"/>
      <c r="O55" s="63"/>
      <c r="P55" s="64"/>
      <c r="Q55" s="65"/>
      <c r="R55" s="65"/>
      <c r="S55" s="66"/>
      <c r="T55" s="66"/>
      <c r="U55" s="66"/>
      <c r="V55" s="66"/>
      <c r="W55" s="66"/>
      <c r="X55" s="23"/>
      <c r="Y55" s="23"/>
      <c r="Z55" s="23"/>
      <c r="AA55" s="59"/>
      <c r="AB55" s="53"/>
      <c r="AC55" s="23"/>
      <c r="AD55" s="59"/>
      <c r="AE55" s="59"/>
      <c r="AF55" s="59"/>
      <c r="AG55" s="59"/>
      <c r="AL55" s="3">
        <v>92365</v>
      </c>
      <c r="AM55" s="63">
        <v>10950</v>
      </c>
      <c r="AN55" s="63" t="e">
        <f t="shared" ca="1" si="1"/>
        <v>#NAME?</v>
      </c>
      <c r="AQ55" s="4"/>
      <c r="AR55" s="4"/>
    </row>
    <row r="56" spans="1:44" ht="22.5" customHeight="1">
      <c r="A56" s="59"/>
      <c r="B56" s="75"/>
      <c r="C56" s="75">
        <f t="shared" si="0"/>
        <v>27</v>
      </c>
      <c r="D56" s="75"/>
      <c r="E56" s="75"/>
      <c r="F56" s="75"/>
      <c r="G56" s="76"/>
      <c r="H56" s="76"/>
      <c r="I56" s="23"/>
      <c r="J56" s="63"/>
      <c r="K56" s="59"/>
      <c r="L56" s="59"/>
      <c r="M56" s="59"/>
      <c r="N56" s="53"/>
      <c r="O56" s="63"/>
      <c r="P56" s="64"/>
      <c r="Q56" s="65"/>
      <c r="R56" s="65"/>
      <c r="S56" s="66"/>
      <c r="T56" s="66"/>
      <c r="U56" s="66"/>
      <c r="V56" s="66"/>
      <c r="W56" s="66"/>
      <c r="X56" s="23"/>
      <c r="Y56" s="23"/>
      <c r="Z56" s="23"/>
      <c r="AA56" s="59"/>
      <c r="AB56" s="53"/>
      <c r="AC56" s="23"/>
      <c r="AD56" s="59"/>
      <c r="AE56" s="59"/>
      <c r="AF56" s="59"/>
      <c r="AG56" s="59"/>
      <c r="AL56" s="3" t="s">
        <v>333</v>
      </c>
      <c r="AM56" s="63" t="s">
        <v>332</v>
      </c>
      <c r="AN56" s="63" t="e">
        <f t="shared" ca="1" si="1"/>
        <v>#NAME?</v>
      </c>
      <c r="AQ56" s="4"/>
      <c r="AR56" s="4"/>
    </row>
    <row r="57" spans="1:44" ht="22.5" customHeight="1">
      <c r="B57" s="23"/>
      <c r="C57" s="23">
        <f t="shared" si="0"/>
        <v>27</v>
      </c>
      <c r="D57" s="23"/>
      <c r="E57" s="23"/>
      <c r="F57" s="23"/>
      <c r="G57" s="63"/>
      <c r="H57" s="63"/>
      <c r="I57" s="23"/>
      <c r="J57" s="63"/>
      <c r="K57" s="63"/>
      <c r="L57" s="63"/>
      <c r="M57" s="63"/>
      <c r="N57" s="63"/>
      <c r="O57" s="63"/>
      <c r="P57" s="64"/>
      <c r="Q57" s="65"/>
      <c r="R57" s="65"/>
      <c r="S57" s="66"/>
      <c r="T57" s="66"/>
      <c r="U57" s="66"/>
      <c r="V57" s="66"/>
      <c r="W57" s="65"/>
      <c r="AB57" s="53"/>
      <c r="AL57" s="3" t="s">
        <v>334</v>
      </c>
      <c r="AM57" s="63">
        <v>1540</v>
      </c>
      <c r="AN57" s="63" t="e">
        <f t="shared" ca="1" si="1"/>
        <v>#NAME?</v>
      </c>
      <c r="AQ57" s="4"/>
      <c r="AR57" s="4"/>
    </row>
    <row r="58" spans="1:44" ht="22.5" customHeight="1">
      <c r="A58" s="59"/>
      <c r="B58" s="93"/>
      <c r="C58" s="93">
        <f t="shared" si="0"/>
        <v>27</v>
      </c>
      <c r="D58" s="93"/>
      <c r="E58" s="93"/>
      <c r="F58" s="93"/>
      <c r="G58" s="70"/>
      <c r="H58" s="70"/>
      <c r="I58" s="86"/>
      <c r="J58" s="63"/>
      <c r="N58" s="53"/>
      <c r="O58" s="53"/>
      <c r="P58" s="64"/>
      <c r="Q58" s="65"/>
      <c r="R58" s="65"/>
      <c r="S58" s="66"/>
      <c r="T58" s="66"/>
      <c r="U58" s="66"/>
      <c r="V58" s="66"/>
      <c r="W58" s="65"/>
      <c r="X58" s="23"/>
      <c r="Y58" s="23"/>
      <c r="Z58" s="23"/>
      <c r="AA58" s="59"/>
      <c r="AB58" s="53"/>
      <c r="AD58" s="59"/>
      <c r="AE58" s="59"/>
      <c r="AF58" s="59"/>
      <c r="AG58" s="59"/>
      <c r="AL58" s="3" t="s">
        <v>335</v>
      </c>
      <c r="AM58" s="63">
        <v>11722</v>
      </c>
      <c r="AN58" s="63" t="e">
        <f t="shared" ca="1" si="1"/>
        <v>#NAME?</v>
      </c>
      <c r="AQ58" s="4"/>
      <c r="AR58" s="4"/>
    </row>
    <row r="59" spans="1:44" ht="22.5" customHeight="1">
      <c r="A59" s="59"/>
      <c r="B59" s="75"/>
      <c r="C59" s="75">
        <f t="shared" si="0"/>
        <v>27</v>
      </c>
      <c r="D59" s="75"/>
      <c r="E59" s="75"/>
      <c r="F59" s="75"/>
      <c r="G59" s="76"/>
      <c r="H59" s="76"/>
      <c r="I59" s="23"/>
      <c r="J59" s="63"/>
      <c r="K59" s="59"/>
      <c r="L59" s="59"/>
      <c r="M59" s="59"/>
      <c r="N59" s="53"/>
      <c r="O59" s="63"/>
      <c r="P59" s="64"/>
      <c r="Q59" s="65"/>
      <c r="R59" s="65"/>
      <c r="S59" s="66"/>
      <c r="T59" s="66"/>
      <c r="U59" s="66"/>
      <c r="V59" s="66"/>
      <c r="W59" s="65"/>
      <c r="X59" s="23"/>
      <c r="Y59" s="23"/>
      <c r="Z59" s="23"/>
      <c r="AA59" s="59"/>
      <c r="AB59" s="53"/>
      <c r="AC59" s="23"/>
      <c r="AD59" s="59"/>
      <c r="AE59" s="59"/>
      <c r="AF59" s="59"/>
      <c r="AG59" s="59"/>
      <c r="AL59" s="3" t="s">
        <v>336</v>
      </c>
      <c r="AM59" s="63">
        <v>108068</v>
      </c>
      <c r="AN59" s="63" t="e">
        <f t="shared" ca="1" si="1"/>
        <v>#NAME?</v>
      </c>
      <c r="AQ59" s="4"/>
      <c r="AR59" s="4"/>
    </row>
    <row r="60" spans="1:44" ht="22.5" customHeight="1">
      <c r="C60" s="59">
        <f t="shared" si="0"/>
        <v>27</v>
      </c>
      <c r="G60" s="70"/>
      <c r="H60" s="70"/>
      <c r="I60" s="59"/>
      <c r="J60" s="53"/>
      <c r="N60" s="53"/>
      <c r="O60" s="53"/>
      <c r="P60" s="64"/>
      <c r="Q60" s="65"/>
      <c r="R60" s="65"/>
      <c r="S60" s="66"/>
      <c r="T60" s="66"/>
      <c r="U60" s="66"/>
      <c r="V60" s="66"/>
      <c r="W60" s="65"/>
      <c r="X60" s="94"/>
      <c r="Y60" s="94"/>
      <c r="Z60" s="94"/>
      <c r="AA60" s="95"/>
      <c r="AB60" s="96"/>
      <c r="AC60" s="97"/>
      <c r="AD60" s="95"/>
      <c r="AE60" s="95"/>
      <c r="AF60" s="95"/>
      <c r="AG60" s="95"/>
      <c r="AL60" s="3" t="s">
        <v>291</v>
      </c>
      <c r="AM60" s="63">
        <v>42651</v>
      </c>
      <c r="AN60" s="63" t="e">
        <f t="shared" ca="1" si="1"/>
        <v>#NAME?</v>
      </c>
      <c r="AQ60" s="4"/>
      <c r="AR60" s="4"/>
    </row>
    <row r="61" spans="1:44" ht="22.5" customHeight="1">
      <c r="A61" s="59"/>
      <c r="B61" s="93"/>
      <c r="C61" s="93">
        <f t="shared" si="0"/>
        <v>27</v>
      </c>
      <c r="D61" s="93"/>
      <c r="E61" s="93"/>
      <c r="F61" s="93"/>
      <c r="G61" s="70"/>
      <c r="H61" s="70"/>
      <c r="I61" s="86"/>
      <c r="J61" s="63"/>
      <c r="N61" s="53"/>
      <c r="O61" s="53"/>
      <c r="P61" s="64"/>
      <c r="Q61" s="65"/>
      <c r="R61" s="65"/>
      <c r="S61" s="66"/>
      <c r="T61" s="66"/>
      <c r="U61" s="66"/>
      <c r="V61" s="66"/>
      <c r="W61" s="65"/>
      <c r="X61" s="23"/>
      <c r="Y61" s="23"/>
      <c r="Z61" s="23"/>
      <c r="AA61" s="59"/>
      <c r="AB61" s="53"/>
      <c r="AD61" s="59"/>
      <c r="AE61" s="59"/>
      <c r="AF61" s="59"/>
      <c r="AG61" s="59"/>
      <c r="AL61" s="3" t="s">
        <v>337</v>
      </c>
      <c r="AM61" s="63">
        <v>330266</v>
      </c>
      <c r="AN61" s="63" t="e">
        <f t="shared" ca="1" si="1"/>
        <v>#NAME?</v>
      </c>
      <c r="AQ61" s="4"/>
      <c r="AR61" s="4"/>
    </row>
    <row r="62" spans="1:44" ht="22.5" customHeight="1">
      <c r="B62" s="93"/>
      <c r="C62" s="93">
        <f t="shared" si="0"/>
        <v>27</v>
      </c>
      <c r="D62" s="93"/>
      <c r="E62" s="93"/>
      <c r="F62" s="93"/>
      <c r="G62" s="70"/>
      <c r="H62" s="70"/>
      <c r="I62" s="23"/>
      <c r="J62" s="63"/>
      <c r="K62" s="63"/>
      <c r="L62" s="63"/>
      <c r="M62" s="63"/>
      <c r="N62" s="63"/>
      <c r="O62" s="63"/>
      <c r="P62" s="71"/>
      <c r="Q62" s="78"/>
      <c r="R62" s="78"/>
      <c r="S62" s="66"/>
      <c r="T62" s="66"/>
      <c r="U62" s="66"/>
      <c r="V62" s="66"/>
      <c r="W62" s="65"/>
      <c r="AB62" s="53"/>
      <c r="AL62" s="3" t="s">
        <v>338</v>
      </c>
      <c r="AM62" s="63">
        <v>40478</v>
      </c>
      <c r="AN62" s="63" t="e">
        <f t="shared" ca="1" si="1"/>
        <v>#NAME?</v>
      </c>
      <c r="AQ62" s="4"/>
      <c r="AR62" s="4"/>
    </row>
    <row r="63" spans="1:44" ht="22.5" customHeight="1">
      <c r="A63" s="59"/>
      <c r="B63" s="90"/>
      <c r="C63" s="90">
        <f t="shared" si="0"/>
        <v>27</v>
      </c>
      <c r="D63" s="90"/>
      <c r="E63" s="90"/>
      <c r="F63" s="90"/>
      <c r="G63" s="76"/>
      <c r="H63" s="76"/>
      <c r="I63" s="23"/>
      <c r="J63" s="63"/>
      <c r="K63" s="63"/>
      <c r="L63" s="63"/>
      <c r="M63" s="63"/>
      <c r="N63" s="92"/>
      <c r="O63" s="92"/>
      <c r="P63" s="64"/>
      <c r="Q63" s="65"/>
      <c r="R63" s="65"/>
      <c r="S63" s="66"/>
      <c r="T63" s="66"/>
      <c r="U63" s="66"/>
      <c r="V63" s="66"/>
      <c r="W63" s="65"/>
      <c r="X63" s="23"/>
      <c r="Y63" s="23"/>
      <c r="Z63" s="23"/>
      <c r="AA63" s="59"/>
      <c r="AB63" s="53"/>
      <c r="AC63" s="23"/>
      <c r="AD63" s="59"/>
      <c r="AE63" s="59"/>
      <c r="AF63" s="59"/>
      <c r="AG63" s="59"/>
      <c r="AL63" s="3" t="s">
        <v>339</v>
      </c>
      <c r="AM63" s="63">
        <v>27250</v>
      </c>
      <c r="AN63" s="63" t="e">
        <f t="shared" ca="1" si="1"/>
        <v>#NAME?</v>
      </c>
      <c r="AQ63" s="4"/>
      <c r="AR63" s="4"/>
    </row>
    <row r="64" spans="1:44" ht="22.5" customHeight="1">
      <c r="A64" s="59"/>
      <c r="B64" s="75"/>
      <c r="C64" s="75">
        <f t="shared" si="0"/>
        <v>27</v>
      </c>
      <c r="D64" s="75"/>
      <c r="E64" s="75"/>
      <c r="F64" s="75"/>
      <c r="G64" s="76"/>
      <c r="H64" s="76"/>
      <c r="I64" s="23"/>
      <c r="J64" s="63"/>
      <c r="K64" s="59"/>
      <c r="L64" s="59"/>
      <c r="M64" s="59"/>
      <c r="N64" s="53"/>
      <c r="O64" s="63"/>
      <c r="P64" s="64"/>
      <c r="Q64" s="65"/>
      <c r="R64" s="65"/>
      <c r="S64" s="66"/>
      <c r="T64" s="66"/>
      <c r="U64" s="66"/>
      <c r="V64" s="66"/>
      <c r="W64" s="66"/>
      <c r="X64" s="23"/>
      <c r="Y64" s="23"/>
      <c r="Z64" s="23"/>
      <c r="AA64" s="59"/>
      <c r="AB64" s="53"/>
      <c r="AC64" s="23"/>
      <c r="AD64" s="59"/>
      <c r="AE64" s="59"/>
      <c r="AF64" s="59"/>
      <c r="AG64" s="59"/>
      <c r="AL64" s="3" t="s">
        <v>340</v>
      </c>
      <c r="AM64" s="63">
        <v>34036</v>
      </c>
      <c r="AN64" s="63" t="e">
        <f t="shared" ca="1" si="1"/>
        <v>#NAME?</v>
      </c>
      <c r="AQ64" s="4"/>
      <c r="AR64" s="4"/>
    </row>
    <row r="65" spans="1:44" ht="22.5" customHeight="1">
      <c r="B65" s="98"/>
      <c r="C65" s="98">
        <f t="shared" si="0"/>
        <v>27</v>
      </c>
      <c r="D65" s="98"/>
      <c r="E65" s="98"/>
      <c r="F65" s="98"/>
      <c r="G65" s="80"/>
      <c r="H65" s="80"/>
      <c r="I65" s="23"/>
      <c r="J65" s="63"/>
      <c r="K65" s="63"/>
      <c r="L65" s="63"/>
      <c r="M65" s="63"/>
      <c r="N65" s="63"/>
      <c r="O65" s="63"/>
      <c r="P65" s="64"/>
      <c r="Q65" s="65"/>
      <c r="R65" s="65"/>
      <c r="S65" s="66"/>
      <c r="T65" s="66"/>
      <c r="U65" s="66"/>
      <c r="V65" s="66"/>
      <c r="W65" s="66"/>
      <c r="AB65" s="53"/>
      <c r="AC65" s="23"/>
      <c r="AM65" s="63">
        <v>34037</v>
      </c>
      <c r="AN65" s="63" t="e">
        <f t="shared" ca="1" si="1"/>
        <v>#NAME?</v>
      </c>
      <c r="AQ65" s="4"/>
      <c r="AR65" s="4"/>
    </row>
    <row r="66" spans="1:44" ht="22.5" customHeight="1">
      <c r="B66" s="98"/>
      <c r="C66" s="98">
        <f t="shared" si="0"/>
        <v>27</v>
      </c>
      <c r="D66" s="98"/>
      <c r="E66" s="98"/>
      <c r="F66" s="98"/>
      <c r="G66" s="80"/>
      <c r="H66" s="80"/>
      <c r="I66" s="23"/>
      <c r="J66" s="63"/>
      <c r="K66" s="63"/>
      <c r="L66" s="63"/>
      <c r="M66" s="63"/>
      <c r="N66" s="63"/>
      <c r="O66" s="63"/>
      <c r="P66" s="64"/>
      <c r="Q66" s="65"/>
      <c r="R66" s="65"/>
      <c r="S66" s="66"/>
      <c r="T66" s="66"/>
      <c r="U66" s="66"/>
      <c r="V66" s="66"/>
      <c r="W66" s="66"/>
      <c r="X66" s="23"/>
      <c r="Y66" s="23"/>
      <c r="Z66" s="23"/>
      <c r="AB66" s="53"/>
      <c r="AC66" s="23"/>
      <c r="AM66" s="63">
        <v>7052</v>
      </c>
      <c r="AN66" s="63" t="e">
        <f t="shared" ca="1" si="1"/>
        <v>#NAME?</v>
      </c>
      <c r="AQ66" s="4"/>
      <c r="AR66" s="4"/>
    </row>
    <row r="67" spans="1:44" ht="22.5" customHeight="1">
      <c r="A67" s="59"/>
      <c r="B67" s="63"/>
      <c r="C67" s="63">
        <f t="shared" si="0"/>
        <v>27</v>
      </c>
      <c r="D67" s="63"/>
      <c r="E67" s="63"/>
      <c r="F67" s="63"/>
      <c r="G67" s="63"/>
      <c r="H67" s="63"/>
      <c r="I67" s="86"/>
      <c r="J67" s="53"/>
      <c r="N67" s="53"/>
      <c r="O67" s="53"/>
      <c r="P67" s="64"/>
      <c r="Q67" s="65"/>
      <c r="R67" s="65"/>
      <c r="S67" s="66"/>
      <c r="T67" s="66"/>
      <c r="U67" s="66"/>
      <c r="V67" s="66"/>
      <c r="W67" s="65"/>
      <c r="X67" s="23"/>
      <c r="Y67" s="23"/>
      <c r="Z67" s="23"/>
      <c r="AA67" s="59"/>
      <c r="AB67" s="53"/>
      <c r="AD67" s="59"/>
      <c r="AE67" s="59"/>
      <c r="AF67" s="59"/>
      <c r="AG67" s="59"/>
      <c r="AM67" s="63">
        <v>6316</v>
      </c>
      <c r="AN67" s="63" t="e">
        <f t="shared" ca="1" si="1"/>
        <v>#NAME?</v>
      </c>
      <c r="AQ67" s="4"/>
      <c r="AR67" s="4"/>
    </row>
    <row r="68" spans="1:44" ht="22.5" customHeight="1">
      <c r="A68" s="59"/>
      <c r="B68" s="90"/>
      <c r="C68" s="90">
        <f t="shared" si="0"/>
        <v>27</v>
      </c>
      <c r="D68" s="90"/>
      <c r="E68" s="90"/>
      <c r="F68" s="90"/>
      <c r="G68" s="76"/>
      <c r="H68" s="76"/>
      <c r="I68" s="23"/>
      <c r="J68" s="63"/>
      <c r="K68" s="63"/>
      <c r="L68" s="63"/>
      <c r="M68" s="63"/>
      <c r="N68" s="63"/>
      <c r="O68" s="63"/>
      <c r="P68" s="64"/>
      <c r="Q68" s="65"/>
      <c r="R68" s="65"/>
      <c r="S68" s="66"/>
      <c r="T68" s="66"/>
      <c r="U68" s="66"/>
      <c r="V68" s="66"/>
      <c r="W68" s="66"/>
      <c r="X68" s="23"/>
      <c r="Y68" s="23"/>
      <c r="Z68" s="23"/>
      <c r="AA68" s="59"/>
      <c r="AB68" s="53"/>
      <c r="AC68" s="23"/>
      <c r="AD68" s="59"/>
      <c r="AE68" s="59"/>
      <c r="AF68" s="59"/>
      <c r="AG68" s="59"/>
      <c r="AM68" s="53">
        <v>7054</v>
      </c>
      <c r="AN68" s="53" t="e">
        <f t="shared" ca="1" si="1"/>
        <v>#NAME?</v>
      </c>
      <c r="AQ68" s="4"/>
      <c r="AR68" s="4"/>
    </row>
    <row r="69" spans="1:44" ht="22.5" customHeight="1">
      <c r="A69" s="59"/>
      <c r="B69" s="75"/>
      <c r="C69" s="75">
        <f t="shared" si="0"/>
        <v>27</v>
      </c>
      <c r="D69" s="75"/>
      <c r="E69" s="75"/>
      <c r="F69" s="75"/>
      <c r="G69" s="76"/>
      <c r="H69" s="76"/>
      <c r="I69" s="23"/>
      <c r="J69" s="63"/>
      <c r="K69" s="59"/>
      <c r="L69" s="59"/>
      <c r="M69" s="59"/>
      <c r="N69" s="53"/>
      <c r="O69" s="63"/>
      <c r="P69" s="64"/>
      <c r="Q69" s="65"/>
      <c r="R69" s="65"/>
      <c r="S69" s="66"/>
      <c r="T69" s="66"/>
      <c r="U69" s="66"/>
      <c r="V69" s="66"/>
      <c r="W69" s="66"/>
      <c r="X69" s="23"/>
      <c r="Y69" s="23"/>
      <c r="Z69" s="23"/>
      <c r="AA69" s="59"/>
      <c r="AB69" s="53"/>
      <c r="AC69" s="23"/>
      <c r="AD69" s="59"/>
      <c r="AE69" s="59"/>
      <c r="AF69" s="59"/>
      <c r="AG69" s="59"/>
      <c r="AM69" s="63" t="s">
        <v>328</v>
      </c>
      <c r="AN69" s="63" t="e">
        <f t="shared" ca="1" si="1"/>
        <v>#NAME?</v>
      </c>
      <c r="AQ69" s="4"/>
      <c r="AR69" s="4"/>
    </row>
    <row r="70" spans="1:44" ht="22.5" customHeight="1">
      <c r="A70" s="59"/>
      <c r="B70" s="99"/>
      <c r="C70" s="99">
        <f t="shared" si="0"/>
        <v>27</v>
      </c>
      <c r="D70" s="99"/>
      <c r="E70" s="99"/>
      <c r="F70" s="99"/>
      <c r="G70" s="100"/>
      <c r="H70" s="100"/>
      <c r="I70" s="86"/>
      <c r="J70" s="63"/>
      <c r="K70" s="59"/>
      <c r="L70" s="59"/>
      <c r="M70" s="59"/>
      <c r="N70" s="53"/>
      <c r="O70" s="63"/>
      <c r="P70" s="77"/>
      <c r="Q70" s="65"/>
      <c r="R70" s="65"/>
      <c r="S70" s="66"/>
      <c r="T70" s="66"/>
      <c r="U70" s="66"/>
      <c r="V70" s="66"/>
      <c r="W70" s="66"/>
      <c r="X70" s="94"/>
      <c r="Y70" s="94"/>
      <c r="Z70" s="94"/>
      <c r="AA70" s="95"/>
      <c r="AB70" s="96"/>
      <c r="AC70" s="101"/>
      <c r="AD70" s="95"/>
      <c r="AE70" s="95"/>
      <c r="AF70" s="95"/>
      <c r="AG70" s="95"/>
      <c r="AM70" s="63">
        <v>42162</v>
      </c>
      <c r="AN70" s="63" t="e">
        <f t="shared" ca="1" si="1"/>
        <v>#NAME?</v>
      </c>
      <c r="AQ70" s="4"/>
      <c r="AR70" s="4"/>
    </row>
    <row r="71" spans="1:44" ht="22.5" customHeight="1">
      <c r="A71" s="59"/>
      <c r="B71" s="63"/>
      <c r="C71" s="63">
        <f t="shared" si="0"/>
        <v>27</v>
      </c>
      <c r="D71" s="63"/>
      <c r="E71" s="63"/>
      <c r="F71" s="63"/>
      <c r="G71" s="63"/>
      <c r="H71" s="63"/>
      <c r="I71" s="86"/>
      <c r="J71" s="63"/>
      <c r="N71" s="53"/>
      <c r="O71" s="53"/>
      <c r="P71" s="64"/>
      <c r="Q71" s="65"/>
      <c r="R71" s="65"/>
      <c r="S71" s="66"/>
      <c r="T71" s="66"/>
      <c r="U71" s="66"/>
      <c r="V71" s="66"/>
      <c r="W71" s="65"/>
      <c r="X71" s="23"/>
      <c r="Y71" s="23"/>
      <c r="Z71" s="23"/>
      <c r="AA71" s="59"/>
      <c r="AB71" s="53"/>
      <c r="AD71" s="59"/>
      <c r="AE71" s="59"/>
      <c r="AF71" s="59"/>
      <c r="AG71" s="59"/>
      <c r="AM71" s="63">
        <v>47264</v>
      </c>
      <c r="AN71" s="63" t="e">
        <f t="shared" ca="1" si="1"/>
        <v>#NAME?</v>
      </c>
      <c r="AQ71" s="4"/>
      <c r="AR71" s="4"/>
    </row>
    <row r="72" spans="1:44" ht="22.5" customHeight="1">
      <c r="A72" s="59"/>
      <c r="B72" s="102"/>
      <c r="C72" s="102">
        <f t="shared" si="0"/>
        <v>27</v>
      </c>
      <c r="D72" s="102"/>
      <c r="E72" s="102"/>
      <c r="F72" s="102"/>
      <c r="G72" s="83"/>
      <c r="H72" s="83"/>
      <c r="I72" s="23"/>
      <c r="J72" s="63"/>
      <c r="K72" s="59"/>
      <c r="L72" s="59"/>
      <c r="M72" s="59"/>
      <c r="N72" s="53"/>
      <c r="O72" s="63"/>
      <c r="P72" s="77"/>
      <c r="Q72" s="65"/>
      <c r="R72" s="65"/>
      <c r="S72" s="66"/>
      <c r="T72" s="66"/>
      <c r="U72" s="66"/>
      <c r="V72" s="66"/>
      <c r="W72" s="66"/>
      <c r="X72" s="23"/>
      <c r="Y72" s="23"/>
      <c r="Z72" s="23"/>
      <c r="AA72" s="59"/>
      <c r="AB72" s="53"/>
      <c r="AC72" s="23"/>
      <c r="AD72" s="59"/>
      <c r="AE72" s="59"/>
      <c r="AF72" s="59"/>
      <c r="AG72" s="59"/>
      <c r="AM72" s="63">
        <v>12848</v>
      </c>
      <c r="AN72" s="63" t="e">
        <f t="shared" ca="1" si="1"/>
        <v>#NAME?</v>
      </c>
      <c r="AQ72" s="4"/>
      <c r="AR72" s="4"/>
    </row>
    <row r="73" spans="1:44" ht="22.5" customHeight="1">
      <c r="B73" s="103"/>
      <c r="C73" s="103">
        <f t="shared" si="0"/>
        <v>27</v>
      </c>
      <c r="D73" s="103"/>
      <c r="E73" s="103"/>
      <c r="F73" s="103"/>
      <c r="G73" s="104"/>
      <c r="H73" s="104"/>
      <c r="I73" s="23"/>
      <c r="J73" s="63"/>
      <c r="K73" s="59"/>
      <c r="L73" s="59"/>
      <c r="M73" s="59"/>
      <c r="N73" s="53"/>
      <c r="O73" s="63"/>
      <c r="P73" s="77"/>
      <c r="Q73" s="65"/>
      <c r="R73" s="65"/>
      <c r="S73" s="66"/>
      <c r="T73" s="66"/>
      <c r="U73" s="66"/>
      <c r="V73" s="66"/>
      <c r="W73" s="66"/>
      <c r="X73" s="23"/>
      <c r="Y73" s="23"/>
      <c r="Z73" s="23"/>
      <c r="AA73" s="59"/>
      <c r="AB73" s="53"/>
      <c r="AC73" s="23"/>
      <c r="AD73" s="59"/>
      <c r="AE73" s="59"/>
      <c r="AF73" s="59"/>
      <c r="AG73" s="59"/>
      <c r="AM73" s="63">
        <v>101552</v>
      </c>
      <c r="AN73" s="63" t="e">
        <f t="shared" ca="1" si="1"/>
        <v>#NAME?</v>
      </c>
      <c r="AQ73" s="4"/>
      <c r="AR73" s="4"/>
    </row>
    <row r="74" spans="1:44" ht="22.5" customHeight="1">
      <c r="A74" s="59"/>
      <c r="B74" s="105"/>
      <c r="C74" s="105">
        <f t="shared" si="0"/>
        <v>27</v>
      </c>
      <c r="D74" s="105"/>
      <c r="E74" s="105"/>
      <c r="F74" s="105"/>
      <c r="G74" s="106"/>
      <c r="H74" s="106"/>
      <c r="I74" s="23"/>
      <c r="J74" s="63"/>
      <c r="K74" s="59"/>
      <c r="L74" s="59"/>
      <c r="M74" s="59"/>
      <c r="N74" s="53"/>
      <c r="O74" s="63"/>
      <c r="P74" s="77"/>
      <c r="Q74" s="65"/>
      <c r="R74" s="65"/>
      <c r="S74" s="66"/>
      <c r="T74" s="66"/>
      <c r="U74" s="66"/>
      <c r="V74" s="66"/>
      <c r="W74" s="66"/>
      <c r="X74" s="23"/>
      <c r="Y74" s="23"/>
      <c r="Z74" s="23"/>
      <c r="AA74" s="59"/>
      <c r="AB74" s="53"/>
      <c r="AC74" s="23"/>
      <c r="AD74" s="59"/>
      <c r="AE74" s="59"/>
      <c r="AF74" s="59"/>
      <c r="AG74" s="59"/>
      <c r="AM74" s="63">
        <v>106637</v>
      </c>
      <c r="AN74" s="63" t="e">
        <f t="shared" ca="1" si="1"/>
        <v>#NAME?</v>
      </c>
      <c r="AQ74" s="4"/>
      <c r="AR74" s="4"/>
    </row>
    <row r="75" spans="1:44" ht="22.5" customHeight="1">
      <c r="A75" s="59"/>
      <c r="B75" s="63"/>
      <c r="C75" s="63">
        <f t="shared" si="0"/>
        <v>27</v>
      </c>
      <c r="D75" s="63"/>
      <c r="E75" s="63"/>
      <c r="F75" s="63"/>
      <c r="G75" s="63"/>
      <c r="H75" s="63"/>
      <c r="I75" s="23"/>
      <c r="J75" s="63"/>
      <c r="N75" s="53"/>
      <c r="O75" s="53"/>
      <c r="P75" s="64"/>
      <c r="Q75" s="65"/>
      <c r="R75" s="65"/>
      <c r="S75" s="66"/>
      <c r="T75" s="66"/>
      <c r="U75" s="66"/>
      <c r="V75" s="66"/>
      <c r="W75" s="65"/>
      <c r="X75" s="23"/>
      <c r="Y75" s="23"/>
      <c r="Z75" s="23"/>
      <c r="AA75" s="59"/>
      <c r="AB75" s="53"/>
      <c r="AD75" s="59"/>
      <c r="AE75" s="59"/>
      <c r="AF75" s="59"/>
      <c r="AG75" s="59"/>
      <c r="AM75" s="107">
        <v>109849</v>
      </c>
      <c r="AN75" s="53" t="e">
        <f t="shared" ca="1" si="1"/>
        <v>#NAME?</v>
      </c>
      <c r="AQ75" s="4"/>
      <c r="AR75" s="4"/>
    </row>
    <row r="76" spans="1:44" ht="22.5" customHeight="1">
      <c r="A76" s="59"/>
      <c r="B76" s="63"/>
      <c r="C76" s="63">
        <f t="shared" si="0"/>
        <v>27</v>
      </c>
      <c r="D76" s="63"/>
      <c r="E76" s="63"/>
      <c r="F76" s="63"/>
      <c r="G76" s="63"/>
      <c r="H76" s="63"/>
      <c r="I76" s="23"/>
      <c r="J76" s="63"/>
      <c r="N76" s="53"/>
      <c r="O76" s="63"/>
      <c r="P76" s="64"/>
      <c r="Q76" s="65"/>
      <c r="R76" s="65"/>
      <c r="S76" s="108"/>
      <c r="T76" s="108"/>
      <c r="U76" s="108"/>
      <c r="V76" s="108"/>
      <c r="W76" s="65"/>
      <c r="X76" s="23"/>
      <c r="Y76" s="23"/>
      <c r="Z76" s="23"/>
      <c r="AA76" s="59"/>
      <c r="AB76" s="53"/>
      <c r="AD76" s="59"/>
      <c r="AE76" s="59"/>
      <c r="AF76" s="59"/>
      <c r="AG76" s="59"/>
      <c r="AM76" s="63">
        <v>9301</v>
      </c>
      <c r="AN76" s="63" t="e">
        <f t="shared" ca="1" si="1"/>
        <v>#NAME?</v>
      </c>
      <c r="AQ76" s="4"/>
      <c r="AR76" s="4"/>
    </row>
    <row r="77" spans="1:44" ht="22.5" customHeight="1">
      <c r="A77" s="59"/>
      <c r="B77" s="63"/>
      <c r="C77" s="63">
        <f t="shared" si="0"/>
        <v>27</v>
      </c>
      <c r="D77" s="63"/>
      <c r="E77" s="63"/>
      <c r="F77" s="63"/>
      <c r="G77" s="63"/>
      <c r="H77" s="63"/>
      <c r="I77" s="23"/>
      <c r="J77" s="63"/>
      <c r="N77" s="53"/>
      <c r="O77" s="53"/>
      <c r="P77" s="64"/>
      <c r="Q77" s="65"/>
      <c r="R77" s="65"/>
      <c r="S77" s="66"/>
      <c r="T77" s="66"/>
      <c r="U77" s="66"/>
      <c r="V77" s="66"/>
      <c r="W77" s="65"/>
      <c r="X77" s="23"/>
      <c r="Y77" s="23"/>
      <c r="Z77" s="23"/>
      <c r="AA77" s="59"/>
      <c r="AB77" s="53"/>
      <c r="AD77" s="59"/>
      <c r="AE77" s="59"/>
      <c r="AF77" s="59"/>
      <c r="AG77" s="59"/>
      <c r="AM77" s="63">
        <v>8632</v>
      </c>
      <c r="AN77" s="63" t="e">
        <f t="shared" ca="1" si="1"/>
        <v>#NAME?</v>
      </c>
      <c r="AQ77" s="4"/>
      <c r="AR77" s="4"/>
    </row>
    <row r="78" spans="1:44" ht="22.5" customHeight="1">
      <c r="A78" s="59"/>
      <c r="B78" s="63"/>
      <c r="C78" s="63">
        <f t="shared" si="0"/>
        <v>27</v>
      </c>
      <c r="D78" s="63"/>
      <c r="E78" s="63"/>
      <c r="F78" s="63"/>
      <c r="G78" s="63"/>
      <c r="H78" s="63"/>
      <c r="I78" s="23"/>
      <c r="J78" s="63"/>
      <c r="N78" s="53"/>
      <c r="O78" s="53"/>
      <c r="P78" s="109"/>
      <c r="Q78" s="65"/>
      <c r="R78" s="65"/>
      <c r="S78" s="66"/>
      <c r="T78" s="66"/>
      <c r="U78" s="66"/>
      <c r="V78" s="66"/>
      <c r="W78" s="65"/>
      <c r="X78" s="23"/>
      <c r="Y78" s="23"/>
      <c r="Z78" s="23"/>
      <c r="AA78" s="59"/>
      <c r="AB78" s="53"/>
      <c r="AD78" s="59"/>
      <c r="AE78" s="59"/>
      <c r="AF78" s="59"/>
      <c r="AG78" s="59"/>
      <c r="AM78" s="63">
        <v>13728</v>
      </c>
      <c r="AN78" s="63" t="e">
        <f t="shared" ca="1" si="1"/>
        <v>#NAME?</v>
      </c>
      <c r="AQ78" s="4"/>
      <c r="AR78" s="4"/>
    </row>
    <row r="79" spans="1:44" ht="22.5" customHeight="1">
      <c r="A79" s="59"/>
      <c r="B79" s="63"/>
      <c r="C79" s="63">
        <f t="shared" si="0"/>
        <v>27</v>
      </c>
      <c r="D79" s="63"/>
      <c r="E79" s="63"/>
      <c r="F79" s="63"/>
      <c r="G79" s="63"/>
      <c r="H79" s="63"/>
      <c r="I79" s="23"/>
      <c r="J79" s="63"/>
      <c r="N79" s="53"/>
      <c r="O79" s="53"/>
      <c r="P79" s="64"/>
      <c r="Q79" s="65"/>
      <c r="R79" s="65"/>
      <c r="S79" s="66"/>
      <c r="T79" s="66"/>
      <c r="U79" s="66"/>
      <c r="V79" s="66"/>
      <c r="W79" s="65"/>
      <c r="X79" s="23"/>
      <c r="Y79" s="23"/>
      <c r="Z79" s="23"/>
      <c r="AA79" s="59"/>
      <c r="AB79" s="53"/>
      <c r="AD79" s="59"/>
      <c r="AE79" s="59"/>
      <c r="AF79" s="59"/>
      <c r="AG79" s="59"/>
      <c r="AM79" s="63">
        <v>51027</v>
      </c>
      <c r="AN79" s="63" t="e">
        <f t="shared" ca="1" si="1"/>
        <v>#NAME?</v>
      </c>
      <c r="AQ79" s="4"/>
      <c r="AR79" s="4"/>
    </row>
    <row r="80" spans="1:44" ht="22.5" customHeight="1">
      <c r="A80" s="59"/>
      <c r="B80" s="63"/>
      <c r="C80" s="63">
        <f t="shared" si="0"/>
        <v>27</v>
      </c>
      <c r="D80" s="63"/>
      <c r="E80" s="63"/>
      <c r="F80" s="63"/>
      <c r="G80" s="63"/>
      <c r="H80" s="63"/>
      <c r="I80" s="23"/>
      <c r="J80" s="63"/>
      <c r="N80" s="53"/>
      <c r="O80" s="53"/>
      <c r="P80" s="109"/>
      <c r="Q80" s="65"/>
      <c r="R80" s="65"/>
      <c r="S80" s="66"/>
      <c r="T80" s="66"/>
      <c r="U80" s="66"/>
      <c r="V80" s="66"/>
      <c r="W80" s="65"/>
      <c r="X80" s="23"/>
      <c r="Y80" s="23"/>
      <c r="Z80" s="23"/>
      <c r="AA80" s="59"/>
      <c r="AB80" s="53"/>
      <c r="AD80" s="59"/>
      <c r="AE80" s="59"/>
      <c r="AF80" s="59"/>
      <c r="AG80" s="59"/>
      <c r="AM80" s="63">
        <v>15496</v>
      </c>
      <c r="AN80" s="63" t="e">
        <f t="shared" ca="1" si="1"/>
        <v>#NAME?</v>
      </c>
      <c r="AQ80" s="4"/>
      <c r="AR80" s="4"/>
    </row>
    <row r="81" spans="1:44" ht="22.5" customHeight="1">
      <c r="A81" s="59"/>
      <c r="B81" s="63"/>
      <c r="C81" s="63">
        <f t="shared" si="0"/>
        <v>27</v>
      </c>
      <c r="D81" s="63"/>
      <c r="E81" s="63"/>
      <c r="F81" s="63"/>
      <c r="G81" s="63"/>
      <c r="H81" s="63"/>
      <c r="I81" s="23"/>
      <c r="J81" s="63"/>
      <c r="N81" s="53"/>
      <c r="O81" s="53"/>
      <c r="P81" s="109"/>
      <c r="Q81" s="65"/>
      <c r="R81" s="65"/>
      <c r="S81" s="66"/>
      <c r="T81" s="66"/>
      <c r="U81" s="66"/>
      <c r="V81" s="66"/>
      <c r="W81" s="65"/>
      <c r="X81" s="23"/>
      <c r="Y81" s="23"/>
      <c r="Z81" s="23"/>
      <c r="AA81" s="59"/>
      <c r="AB81" s="53"/>
      <c r="AD81" s="59"/>
      <c r="AE81" s="59"/>
      <c r="AF81" s="59"/>
      <c r="AG81" s="59"/>
      <c r="AM81" s="63">
        <v>6592</v>
      </c>
      <c r="AN81" s="63" t="e">
        <f t="shared" ca="1" si="1"/>
        <v>#NAME?</v>
      </c>
      <c r="AQ81" s="4"/>
      <c r="AR81" s="4"/>
    </row>
    <row r="82" spans="1:44" ht="22.5" customHeight="1">
      <c r="A82" s="59"/>
      <c r="B82" s="63"/>
      <c r="C82" s="63">
        <f t="shared" si="0"/>
        <v>27</v>
      </c>
      <c r="D82" s="63"/>
      <c r="E82" s="63"/>
      <c r="F82" s="63"/>
      <c r="G82" s="63"/>
      <c r="H82" s="63"/>
      <c r="I82" s="23"/>
      <c r="J82" s="63"/>
      <c r="N82" s="53"/>
      <c r="O82" s="53"/>
      <c r="P82" s="109"/>
      <c r="Q82" s="65"/>
      <c r="R82" s="65"/>
      <c r="S82" s="66"/>
      <c r="T82" s="66"/>
      <c r="U82" s="66"/>
      <c r="V82" s="66"/>
      <c r="W82" s="65"/>
      <c r="X82" s="23"/>
      <c r="Y82" s="23"/>
      <c r="Z82" s="23"/>
      <c r="AA82" s="59"/>
      <c r="AB82" s="53"/>
      <c r="AD82" s="59"/>
      <c r="AE82" s="59"/>
      <c r="AF82" s="59"/>
      <c r="AG82" s="59"/>
      <c r="AM82" s="63">
        <v>15548</v>
      </c>
      <c r="AN82" s="63" t="e">
        <f t="shared" ca="1" si="1"/>
        <v>#NAME?</v>
      </c>
      <c r="AQ82" s="4"/>
      <c r="AR82" s="4"/>
    </row>
    <row r="83" spans="1:44" ht="22.5" customHeight="1">
      <c r="A83" s="59"/>
      <c r="B83" s="63"/>
      <c r="C83" s="63">
        <f t="shared" si="0"/>
        <v>27</v>
      </c>
      <c r="D83" s="63"/>
      <c r="E83" s="63"/>
      <c r="F83" s="63"/>
      <c r="G83" s="63"/>
      <c r="H83" s="63"/>
      <c r="I83" s="23"/>
      <c r="J83" s="63"/>
      <c r="N83" s="53"/>
      <c r="O83" s="53"/>
      <c r="P83" s="64"/>
      <c r="Q83" s="65"/>
      <c r="R83" s="65"/>
      <c r="S83" s="66"/>
      <c r="T83" s="66"/>
      <c r="U83" s="66"/>
      <c r="V83" s="66"/>
      <c r="W83" s="65"/>
      <c r="X83" s="23"/>
      <c r="Y83" s="23"/>
      <c r="Z83" s="23"/>
      <c r="AA83" s="59"/>
      <c r="AB83" s="53"/>
      <c r="AD83" s="59"/>
      <c r="AE83" s="59"/>
      <c r="AF83" s="59"/>
      <c r="AG83" s="59"/>
      <c r="AM83" s="63"/>
      <c r="AN83" s="63" t="e">
        <f t="shared" ca="1" si="1"/>
        <v>#NAME?</v>
      </c>
      <c r="AQ83" s="4"/>
      <c r="AR83" s="4"/>
    </row>
    <row r="84" spans="1:44" ht="22.5" customHeight="1">
      <c r="A84" s="59"/>
      <c r="B84" s="63"/>
      <c r="C84" s="63">
        <f t="shared" si="0"/>
        <v>27</v>
      </c>
      <c r="D84" s="63"/>
      <c r="E84" s="63"/>
      <c r="F84" s="63"/>
      <c r="G84" s="63"/>
      <c r="H84" s="63"/>
      <c r="I84" s="23"/>
      <c r="J84" s="63"/>
      <c r="N84" s="53"/>
      <c r="O84" s="53"/>
      <c r="P84" s="64"/>
      <c r="Q84" s="65"/>
      <c r="R84" s="65"/>
      <c r="S84" s="66"/>
      <c r="T84" s="66"/>
      <c r="U84" s="66"/>
      <c r="V84" s="66"/>
      <c r="W84" s="65"/>
      <c r="X84" s="23"/>
      <c r="Y84" s="23"/>
      <c r="Z84" s="23"/>
      <c r="AA84" s="59"/>
      <c r="AB84" s="53"/>
      <c r="AD84" s="59"/>
      <c r="AE84" s="59"/>
      <c r="AF84" s="59"/>
      <c r="AG84" s="59"/>
      <c r="AM84" s="63">
        <v>36625</v>
      </c>
      <c r="AN84" s="63" t="e">
        <f t="shared" ca="1" si="1"/>
        <v>#NAME?</v>
      </c>
      <c r="AQ84" s="4"/>
      <c r="AR84" s="4"/>
    </row>
    <row r="85" spans="1:44" ht="22.5" customHeight="1">
      <c r="A85" s="59"/>
      <c r="B85" s="63"/>
      <c r="C85" s="63">
        <f t="shared" si="0"/>
        <v>27</v>
      </c>
      <c r="D85" s="63"/>
      <c r="E85" s="63"/>
      <c r="F85" s="63"/>
      <c r="G85" s="63"/>
      <c r="H85" s="63"/>
      <c r="I85" s="23"/>
      <c r="J85" s="63"/>
      <c r="N85" s="53"/>
      <c r="O85" s="53"/>
      <c r="P85" s="109"/>
      <c r="Q85" s="65"/>
      <c r="R85" s="65"/>
      <c r="S85" s="66"/>
      <c r="T85" s="66"/>
      <c r="U85" s="66"/>
      <c r="V85" s="66"/>
      <c r="W85" s="65"/>
      <c r="X85" s="23"/>
      <c r="Y85" s="23"/>
      <c r="Z85" s="23"/>
      <c r="AA85" s="59"/>
      <c r="AB85" s="53"/>
      <c r="AD85" s="59"/>
      <c r="AE85" s="59"/>
      <c r="AF85" s="59"/>
      <c r="AG85" s="59"/>
      <c r="AM85" s="63"/>
      <c r="AN85" s="63" t="e">
        <f t="shared" ca="1" si="1"/>
        <v>#NAME?</v>
      </c>
      <c r="AQ85" s="4"/>
      <c r="AR85" s="4"/>
    </row>
    <row r="86" spans="1:44" ht="22.5" customHeight="1">
      <c r="A86" s="59"/>
      <c r="B86" s="63"/>
      <c r="C86" s="63">
        <f t="shared" si="0"/>
        <v>27</v>
      </c>
      <c r="D86" s="63"/>
      <c r="E86" s="63"/>
      <c r="F86" s="63"/>
      <c r="G86" s="63"/>
      <c r="H86" s="63"/>
      <c r="I86" s="23"/>
      <c r="J86" s="63"/>
      <c r="N86" s="53"/>
      <c r="O86" s="63"/>
      <c r="P86" s="109"/>
      <c r="Q86" s="65"/>
      <c r="R86" s="65"/>
      <c r="S86" s="66"/>
      <c r="T86" s="66"/>
      <c r="U86" s="66"/>
      <c r="V86" s="66"/>
      <c r="W86" s="65"/>
      <c r="X86" s="23"/>
      <c r="Y86" s="23"/>
      <c r="Z86" s="23"/>
      <c r="AA86" s="59"/>
      <c r="AB86" s="53"/>
      <c r="AD86" s="59"/>
      <c r="AE86" s="59"/>
      <c r="AF86" s="59"/>
      <c r="AG86" s="59"/>
      <c r="AM86" s="63">
        <v>108078</v>
      </c>
      <c r="AN86" s="63" t="e">
        <f t="shared" ca="1" si="1"/>
        <v>#NAME?</v>
      </c>
      <c r="AQ86" s="4"/>
      <c r="AR86" s="4"/>
    </row>
    <row r="87" spans="1:44" ht="22.5" customHeight="1">
      <c r="A87" s="59"/>
      <c r="B87" s="63"/>
      <c r="C87" s="63">
        <f t="shared" si="0"/>
        <v>27</v>
      </c>
      <c r="D87" s="63"/>
      <c r="E87" s="63"/>
      <c r="F87" s="63"/>
      <c r="G87" s="63"/>
      <c r="H87" s="63"/>
      <c r="I87" s="23"/>
      <c r="J87" s="63"/>
      <c r="N87" s="53"/>
      <c r="O87" s="63"/>
      <c r="P87" s="109"/>
      <c r="Q87" s="65"/>
      <c r="R87" s="65"/>
      <c r="S87" s="66"/>
      <c r="T87" s="66"/>
      <c r="U87" s="66"/>
      <c r="V87" s="66"/>
      <c r="W87" s="65"/>
      <c r="X87" s="23"/>
      <c r="Y87" s="23"/>
      <c r="Z87" s="23"/>
      <c r="AA87" s="59"/>
      <c r="AB87" s="53"/>
      <c r="AD87" s="59"/>
      <c r="AE87" s="59"/>
      <c r="AF87" s="59"/>
      <c r="AG87" s="59"/>
      <c r="AM87" s="63"/>
      <c r="AN87" s="63" t="e">
        <f t="shared" ca="1" si="1"/>
        <v>#NAME?</v>
      </c>
      <c r="AQ87" s="4"/>
      <c r="AR87" s="4"/>
    </row>
    <row r="88" spans="1:44" ht="22.5" customHeight="1">
      <c r="A88" s="59"/>
      <c r="B88" s="63"/>
      <c r="C88" s="63">
        <f t="shared" si="0"/>
        <v>27</v>
      </c>
      <c r="D88" s="63"/>
      <c r="E88" s="63"/>
      <c r="F88" s="63"/>
      <c r="G88" s="63"/>
      <c r="H88" s="63"/>
      <c r="I88" s="23"/>
      <c r="J88" s="63"/>
      <c r="N88" s="53"/>
      <c r="O88" s="63"/>
      <c r="P88" s="64"/>
      <c r="Q88" s="65"/>
      <c r="R88" s="65"/>
      <c r="S88" s="66"/>
      <c r="T88" s="66"/>
      <c r="U88" s="66"/>
      <c r="V88" s="66"/>
      <c r="W88" s="65"/>
      <c r="X88" s="23"/>
      <c r="Y88" s="23"/>
      <c r="Z88" s="23"/>
      <c r="AA88" s="59"/>
      <c r="AB88" s="53"/>
      <c r="AD88" s="59"/>
      <c r="AE88" s="59"/>
      <c r="AF88" s="59"/>
      <c r="AG88" s="59"/>
      <c r="AM88" s="63"/>
      <c r="AN88" s="63" t="e">
        <f t="shared" ca="1" si="1"/>
        <v>#NAME?</v>
      </c>
      <c r="AQ88" s="4"/>
      <c r="AR88" s="4"/>
    </row>
    <row r="89" spans="1:44" ht="22.5" customHeight="1">
      <c r="A89" s="59"/>
      <c r="B89" s="63"/>
      <c r="C89" s="63">
        <f t="shared" si="0"/>
        <v>27</v>
      </c>
      <c r="D89" s="63"/>
      <c r="E89" s="63"/>
      <c r="F89" s="63"/>
      <c r="G89" s="63"/>
      <c r="H89" s="63"/>
      <c r="I89" s="23"/>
      <c r="J89" s="63"/>
      <c r="N89" s="53"/>
      <c r="O89" s="63"/>
      <c r="P89" s="64"/>
      <c r="Q89" s="65"/>
      <c r="R89" s="65"/>
      <c r="S89" s="66"/>
      <c r="T89" s="66"/>
      <c r="U89" s="66"/>
      <c r="V89" s="66"/>
      <c r="W89" s="65"/>
      <c r="X89" s="23"/>
      <c r="Y89" s="23"/>
      <c r="Z89" s="23"/>
      <c r="AA89" s="59"/>
      <c r="AB89" s="53"/>
      <c r="AD89" s="59"/>
      <c r="AE89" s="59"/>
      <c r="AF89" s="59"/>
      <c r="AG89" s="59"/>
      <c r="AM89" s="63"/>
      <c r="AN89" s="63" t="e">
        <f t="shared" ca="1" si="1"/>
        <v>#NAME?</v>
      </c>
      <c r="AQ89" s="4"/>
      <c r="AR89" s="4"/>
    </row>
    <row r="90" spans="1:44" ht="22.5" customHeight="1">
      <c r="A90" s="59"/>
      <c r="B90" s="63"/>
      <c r="C90" s="63">
        <f t="shared" si="0"/>
        <v>27</v>
      </c>
      <c r="D90" s="63"/>
      <c r="E90" s="63"/>
      <c r="F90" s="63"/>
      <c r="G90" s="63"/>
      <c r="H90" s="110"/>
      <c r="I90" s="23"/>
      <c r="J90" s="63"/>
      <c r="N90" s="53"/>
      <c r="O90" s="63"/>
      <c r="P90" s="64"/>
      <c r="Q90" s="65"/>
      <c r="R90" s="65"/>
      <c r="S90" s="66"/>
      <c r="T90" s="66"/>
      <c r="U90" s="66"/>
      <c r="V90" s="66"/>
      <c r="W90" s="65"/>
      <c r="X90" s="23"/>
      <c r="Y90" s="23"/>
      <c r="Z90" s="23"/>
      <c r="AA90" s="59"/>
      <c r="AB90" s="53"/>
      <c r="AD90" s="59"/>
      <c r="AE90" s="59"/>
      <c r="AF90" s="59"/>
      <c r="AG90" s="59"/>
      <c r="AM90" s="63"/>
      <c r="AN90" s="63" t="e">
        <f t="shared" ca="1" si="1"/>
        <v>#NAME?</v>
      </c>
      <c r="AQ90" s="4"/>
      <c r="AR90" s="4"/>
    </row>
    <row r="91" spans="1:44" ht="22.5" customHeight="1">
      <c r="A91" s="59"/>
      <c r="B91" s="63"/>
      <c r="C91" s="63">
        <f t="shared" si="0"/>
        <v>27</v>
      </c>
      <c r="D91" s="63"/>
      <c r="E91" s="63"/>
      <c r="F91" s="63"/>
      <c r="G91" s="63"/>
      <c r="H91" s="111"/>
      <c r="I91" s="23"/>
      <c r="J91" s="63"/>
      <c r="L91" s="112"/>
      <c r="N91" s="53"/>
      <c r="O91" s="63"/>
      <c r="P91" s="109"/>
      <c r="Q91" s="65"/>
      <c r="R91" s="65"/>
      <c r="S91" s="66"/>
      <c r="T91" s="66"/>
      <c r="U91" s="66"/>
      <c r="V91" s="66"/>
      <c r="W91" s="65"/>
      <c r="X91" s="23"/>
      <c r="Y91" s="23"/>
      <c r="Z91" s="23"/>
      <c r="AA91" s="59"/>
      <c r="AB91" s="53"/>
      <c r="AD91" s="59"/>
      <c r="AE91" s="59"/>
      <c r="AF91" s="59"/>
      <c r="AG91" s="59"/>
      <c r="AM91" s="63"/>
      <c r="AN91" s="63" t="e">
        <f t="shared" ca="1" si="1"/>
        <v>#NAME?</v>
      </c>
      <c r="AQ91" s="4"/>
      <c r="AR91" s="4"/>
    </row>
    <row r="92" spans="1:44" ht="22.5" customHeight="1">
      <c r="A92" s="59"/>
      <c r="B92" s="63"/>
      <c r="C92" s="63">
        <f t="shared" si="0"/>
        <v>27</v>
      </c>
      <c r="D92" s="63"/>
      <c r="E92" s="63"/>
      <c r="F92" s="63"/>
      <c r="G92" s="63"/>
      <c r="H92" s="110"/>
      <c r="I92" s="23"/>
      <c r="J92" s="63"/>
      <c r="N92" s="53"/>
      <c r="O92" s="63"/>
      <c r="P92" s="64"/>
      <c r="Q92" s="65"/>
      <c r="R92" s="65"/>
      <c r="S92" s="66"/>
      <c r="T92" s="66"/>
      <c r="U92" s="66"/>
      <c r="V92" s="66"/>
      <c r="W92" s="65"/>
      <c r="X92" s="23"/>
      <c r="Y92" s="23"/>
      <c r="Z92" s="23"/>
      <c r="AA92" s="59"/>
      <c r="AB92" s="53"/>
      <c r="AD92" s="59"/>
      <c r="AE92" s="59"/>
      <c r="AF92" s="59"/>
      <c r="AG92" s="59"/>
      <c r="AM92" s="63"/>
      <c r="AN92" s="63" t="e">
        <f t="shared" ca="1" si="1"/>
        <v>#NAME?</v>
      </c>
      <c r="AQ92" s="4"/>
      <c r="AR92" s="4"/>
    </row>
    <row r="93" spans="1:44" ht="22.5" customHeight="1">
      <c r="A93" s="59"/>
      <c r="B93" s="63"/>
      <c r="C93" s="63">
        <f t="shared" si="0"/>
        <v>27</v>
      </c>
      <c r="D93" s="63"/>
      <c r="E93" s="63"/>
      <c r="F93" s="63"/>
      <c r="G93" s="63"/>
      <c r="H93" s="111"/>
      <c r="I93" s="23"/>
      <c r="J93" s="63"/>
      <c r="N93" s="53"/>
      <c r="O93" s="63"/>
      <c r="P93" s="64"/>
      <c r="Q93" s="65"/>
      <c r="R93" s="65"/>
      <c r="S93" s="66"/>
      <c r="T93" s="66"/>
      <c r="U93" s="66"/>
      <c r="V93" s="66"/>
      <c r="W93" s="65"/>
      <c r="X93" s="23"/>
      <c r="Y93" s="23"/>
      <c r="Z93" s="23"/>
      <c r="AA93" s="59"/>
      <c r="AB93" s="53"/>
      <c r="AD93" s="59"/>
      <c r="AE93" s="59"/>
      <c r="AF93" s="59"/>
      <c r="AG93" s="59"/>
      <c r="AM93" s="63"/>
      <c r="AN93" s="63" t="e">
        <f t="shared" ca="1" si="1"/>
        <v>#NAME?</v>
      </c>
      <c r="AQ93" s="4"/>
      <c r="AR93" s="4"/>
    </row>
    <row r="94" spans="1:44" ht="22.5" customHeight="1">
      <c r="A94" s="59"/>
      <c r="B94" s="88"/>
      <c r="C94" s="88">
        <f t="shared" si="0"/>
        <v>27</v>
      </c>
      <c r="D94" s="88"/>
      <c r="E94" s="88"/>
      <c r="F94" s="88"/>
      <c r="G94" s="89"/>
      <c r="H94" s="113"/>
      <c r="I94" s="23"/>
      <c r="J94" s="63"/>
      <c r="K94" s="59"/>
      <c r="L94" s="59"/>
      <c r="M94" s="59"/>
      <c r="N94" s="53"/>
      <c r="O94" s="63"/>
      <c r="P94" s="64"/>
      <c r="Q94" s="65"/>
      <c r="R94" s="65"/>
      <c r="S94" s="66"/>
      <c r="T94" s="66"/>
      <c r="U94" s="66"/>
      <c r="V94" s="66"/>
      <c r="W94" s="65"/>
      <c r="X94" s="23"/>
      <c r="Y94" s="23"/>
      <c r="Z94" s="23"/>
      <c r="AA94" s="59"/>
      <c r="AB94" s="53"/>
      <c r="AC94" s="23"/>
      <c r="AD94" s="59"/>
      <c r="AE94" s="59"/>
      <c r="AF94" s="59"/>
      <c r="AG94" s="59"/>
      <c r="AM94" s="63"/>
      <c r="AN94" s="63" t="e">
        <f t="shared" ca="1" si="1"/>
        <v>#NAME?</v>
      </c>
      <c r="AQ94" s="4"/>
      <c r="AR94" s="4"/>
    </row>
    <row r="95" spans="1:44" ht="22.5" customHeight="1">
      <c r="A95" s="59"/>
      <c r="B95" s="88"/>
      <c r="C95" s="88">
        <f t="shared" si="0"/>
        <v>27</v>
      </c>
      <c r="D95" s="88"/>
      <c r="E95" s="88"/>
      <c r="F95" s="88"/>
      <c r="G95" s="89"/>
      <c r="H95" s="114"/>
      <c r="I95" s="23"/>
      <c r="J95" s="63"/>
      <c r="K95" s="59"/>
      <c r="L95" s="59"/>
      <c r="M95" s="59"/>
      <c r="N95" s="53"/>
      <c r="O95" s="63"/>
      <c r="P95" s="64"/>
      <c r="Q95" s="65"/>
      <c r="R95" s="65"/>
      <c r="S95" s="66"/>
      <c r="T95" s="66"/>
      <c r="U95" s="66"/>
      <c r="V95" s="66"/>
      <c r="W95" s="65"/>
      <c r="X95" s="23"/>
      <c r="Y95" s="23"/>
      <c r="Z95" s="23"/>
      <c r="AA95" s="59"/>
      <c r="AB95" s="53"/>
      <c r="AC95" s="23"/>
      <c r="AD95" s="59"/>
      <c r="AE95" s="59"/>
      <c r="AF95" s="59"/>
      <c r="AG95" s="59"/>
      <c r="AM95" s="63"/>
      <c r="AN95" s="63" t="e">
        <f t="shared" ca="1" si="1"/>
        <v>#NAME?</v>
      </c>
      <c r="AQ95" s="4"/>
      <c r="AR95" s="4"/>
    </row>
    <row r="96" spans="1:44" ht="22.5" customHeight="1">
      <c r="A96" s="59"/>
      <c r="B96" s="88"/>
      <c r="C96" s="88">
        <f t="shared" si="0"/>
        <v>27</v>
      </c>
      <c r="D96" s="88"/>
      <c r="E96" s="88"/>
      <c r="F96" s="88"/>
      <c r="G96" s="89"/>
      <c r="H96" s="113"/>
      <c r="I96" s="23"/>
      <c r="J96" s="63"/>
      <c r="K96" s="59"/>
      <c r="L96" s="59"/>
      <c r="M96" s="59"/>
      <c r="N96" s="53"/>
      <c r="O96" s="63"/>
      <c r="P96" s="64"/>
      <c r="Q96" s="65"/>
      <c r="R96" s="65"/>
      <c r="S96" s="66"/>
      <c r="T96" s="66"/>
      <c r="U96" s="66"/>
      <c r="V96" s="66"/>
      <c r="W96" s="65"/>
      <c r="X96" s="23"/>
      <c r="Y96" s="23"/>
      <c r="Z96" s="23"/>
      <c r="AA96" s="59"/>
      <c r="AB96" s="53"/>
      <c r="AC96" s="23"/>
      <c r="AD96" s="59"/>
      <c r="AE96" s="59"/>
      <c r="AF96" s="59"/>
      <c r="AG96" s="59"/>
      <c r="AM96" s="63"/>
      <c r="AN96" s="63" t="e">
        <f t="shared" ca="1" si="1"/>
        <v>#NAME?</v>
      </c>
      <c r="AQ96" s="4"/>
      <c r="AR96" s="4"/>
    </row>
    <row r="97" spans="1:44" ht="22.5" customHeight="1">
      <c r="A97" s="59"/>
      <c r="B97" s="87"/>
      <c r="C97" s="87">
        <f t="shared" si="0"/>
        <v>27</v>
      </c>
      <c r="D97" s="87"/>
      <c r="E97" s="87"/>
      <c r="F97" s="87"/>
      <c r="G97" s="85"/>
      <c r="H97" s="115"/>
      <c r="I97" s="23"/>
      <c r="J97" s="63"/>
      <c r="K97" s="59"/>
      <c r="L97" s="59"/>
      <c r="M97" s="59"/>
      <c r="N97" s="53"/>
      <c r="O97" s="63"/>
      <c r="P97" s="109"/>
      <c r="Q97" s="65"/>
      <c r="R97" s="65"/>
      <c r="S97" s="66"/>
      <c r="T97" s="66"/>
      <c r="U97" s="66"/>
      <c r="V97" s="66"/>
      <c r="W97" s="65"/>
      <c r="X97" s="23"/>
      <c r="Y97" s="23"/>
      <c r="Z97" s="23"/>
      <c r="AA97" s="59"/>
      <c r="AB97" s="53"/>
      <c r="AC97" s="23"/>
      <c r="AD97" s="59"/>
      <c r="AE97" s="59"/>
      <c r="AF97" s="59"/>
      <c r="AG97" s="59"/>
      <c r="AM97" s="63"/>
      <c r="AN97" s="63" t="e">
        <f t="shared" ca="1" si="1"/>
        <v>#NAME?</v>
      </c>
      <c r="AQ97" s="4"/>
      <c r="AR97" s="4"/>
    </row>
    <row r="98" spans="1:44" ht="22.5" customHeight="1">
      <c r="A98" s="59"/>
      <c r="B98" s="87"/>
      <c r="C98" s="87">
        <f t="shared" si="0"/>
        <v>27</v>
      </c>
      <c r="D98" s="87"/>
      <c r="E98" s="87"/>
      <c r="F98" s="87"/>
      <c r="G98" s="85"/>
      <c r="H98" s="116"/>
      <c r="I98" s="23"/>
      <c r="J98" s="63"/>
      <c r="K98" s="59"/>
      <c r="L98" s="59"/>
      <c r="M98" s="59"/>
      <c r="N98" s="53"/>
      <c r="O98" s="63"/>
      <c r="P98" s="109"/>
      <c r="Q98" s="65"/>
      <c r="R98" s="65"/>
      <c r="S98" s="66"/>
      <c r="T98" s="66"/>
      <c r="U98" s="66"/>
      <c r="V98" s="66"/>
      <c r="W98" s="65"/>
      <c r="X98" s="23"/>
      <c r="Y98" s="23"/>
      <c r="Z98" s="23"/>
      <c r="AA98" s="59"/>
      <c r="AB98" s="53"/>
      <c r="AC98" s="23"/>
      <c r="AD98" s="59"/>
      <c r="AE98" s="59"/>
      <c r="AF98" s="59"/>
      <c r="AG98" s="59"/>
      <c r="AM98" s="63"/>
      <c r="AN98" s="63" t="e">
        <f t="shared" ca="1" si="1"/>
        <v>#NAME?</v>
      </c>
      <c r="AQ98" s="4"/>
      <c r="AR98" s="4"/>
    </row>
    <row r="99" spans="1:44" ht="22.5" customHeight="1">
      <c r="A99" s="59"/>
      <c r="B99" s="88"/>
      <c r="C99" s="88">
        <f t="shared" si="0"/>
        <v>27</v>
      </c>
      <c r="D99" s="88"/>
      <c r="E99" s="88"/>
      <c r="F99" s="88"/>
      <c r="G99" s="89"/>
      <c r="H99" s="114"/>
      <c r="I99" s="23"/>
      <c r="J99" s="63"/>
      <c r="K99" s="59"/>
      <c r="L99" s="59"/>
      <c r="M99" s="59"/>
      <c r="N99" s="53"/>
      <c r="O99" s="63"/>
      <c r="P99" s="109"/>
      <c r="Q99" s="65"/>
      <c r="R99" s="65"/>
      <c r="S99" s="66"/>
      <c r="T99" s="66"/>
      <c r="U99" s="66"/>
      <c r="V99" s="66"/>
      <c r="W99" s="65"/>
      <c r="X99" s="23"/>
      <c r="Y99" s="23"/>
      <c r="Z99" s="23"/>
      <c r="AA99" s="59"/>
      <c r="AB99" s="53"/>
      <c r="AC99" s="23"/>
      <c r="AD99" s="59"/>
      <c r="AE99" s="59"/>
      <c r="AF99" s="59"/>
      <c r="AG99" s="59"/>
      <c r="AM99" s="63"/>
      <c r="AN99" s="63" t="e">
        <f t="shared" ca="1" si="1"/>
        <v>#NAME?</v>
      </c>
      <c r="AQ99" s="4"/>
      <c r="AR99" s="4"/>
    </row>
    <row r="100" spans="1:44" ht="22.5" customHeight="1">
      <c r="A100" s="59"/>
      <c r="B100" s="88"/>
      <c r="C100" s="88">
        <f t="shared" si="0"/>
        <v>27</v>
      </c>
      <c r="D100" s="88"/>
      <c r="E100" s="88"/>
      <c r="F100" s="88"/>
      <c r="G100" s="89"/>
      <c r="H100" s="113"/>
      <c r="I100" s="23"/>
      <c r="J100" s="63"/>
      <c r="K100" s="59"/>
      <c r="L100" s="59"/>
      <c r="M100" s="59"/>
      <c r="N100" s="53"/>
      <c r="O100" s="63"/>
      <c r="P100" s="64"/>
      <c r="Q100" s="65"/>
      <c r="R100" s="65"/>
      <c r="S100" s="66"/>
      <c r="T100" s="66"/>
      <c r="U100" s="66"/>
      <c r="V100" s="66"/>
      <c r="W100" s="65"/>
      <c r="X100" s="23"/>
      <c r="Y100" s="23"/>
      <c r="Z100" s="23"/>
      <c r="AA100" s="59"/>
      <c r="AB100" s="53"/>
      <c r="AC100" s="23"/>
      <c r="AD100" s="59"/>
      <c r="AE100" s="59"/>
      <c r="AF100" s="59"/>
      <c r="AG100" s="59"/>
      <c r="AM100" s="63"/>
      <c r="AN100" s="63" t="e">
        <f t="shared" ca="1" si="1"/>
        <v>#NAME?</v>
      </c>
      <c r="AQ100" s="4"/>
      <c r="AR100" s="4"/>
    </row>
    <row r="101" spans="1:44" ht="22.5" customHeight="1">
      <c r="A101" s="59"/>
      <c r="B101" s="88"/>
      <c r="C101" s="88">
        <f t="shared" si="0"/>
        <v>27</v>
      </c>
      <c r="D101" s="88"/>
      <c r="E101" s="88"/>
      <c r="F101" s="88"/>
      <c r="G101" s="89"/>
      <c r="H101" s="114"/>
      <c r="I101" s="23"/>
      <c r="J101" s="63"/>
      <c r="K101" s="59"/>
      <c r="L101" s="59"/>
      <c r="M101" s="59"/>
      <c r="N101" s="53"/>
      <c r="O101" s="63"/>
      <c r="P101" s="64"/>
      <c r="Q101" s="65"/>
      <c r="R101" s="65"/>
      <c r="S101" s="66"/>
      <c r="T101" s="66"/>
      <c r="U101" s="66"/>
      <c r="V101" s="66"/>
      <c r="W101" s="65"/>
      <c r="X101" s="23"/>
      <c r="Y101" s="23"/>
      <c r="Z101" s="23"/>
      <c r="AA101" s="59"/>
      <c r="AB101" s="53"/>
      <c r="AC101" s="23"/>
      <c r="AD101" s="59"/>
      <c r="AE101" s="59"/>
      <c r="AF101" s="59"/>
      <c r="AG101" s="59"/>
      <c r="AM101" s="63"/>
      <c r="AN101" s="63" t="e">
        <f t="shared" ca="1" si="1"/>
        <v>#NAME?</v>
      </c>
      <c r="AQ101" s="4"/>
      <c r="AR101" s="4"/>
    </row>
    <row r="102" spans="1:44" ht="22.5" customHeight="1">
      <c r="A102" s="59"/>
      <c r="B102" s="87"/>
      <c r="C102" s="87">
        <f t="shared" si="0"/>
        <v>27</v>
      </c>
      <c r="D102" s="87"/>
      <c r="E102" s="87"/>
      <c r="F102" s="87"/>
      <c r="G102" s="85"/>
      <c r="H102" s="116"/>
      <c r="I102" s="23"/>
      <c r="J102" s="63"/>
      <c r="K102" s="59"/>
      <c r="L102" s="59"/>
      <c r="M102" s="59"/>
      <c r="N102" s="53"/>
      <c r="O102" s="63"/>
      <c r="P102" s="64"/>
      <c r="Q102" s="65"/>
      <c r="R102" s="65"/>
      <c r="S102" s="66"/>
      <c r="T102" s="66"/>
      <c r="U102" s="66"/>
      <c r="V102" s="66"/>
      <c r="W102" s="65"/>
      <c r="X102" s="23"/>
      <c r="Y102" s="23"/>
      <c r="Z102" s="23"/>
      <c r="AA102" s="59"/>
      <c r="AB102" s="53"/>
      <c r="AC102" s="23"/>
      <c r="AD102" s="59"/>
      <c r="AE102" s="59"/>
      <c r="AF102" s="59"/>
      <c r="AG102" s="59"/>
      <c r="AM102" s="63"/>
      <c r="AN102" s="63" t="e">
        <f t="shared" ca="1" si="1"/>
        <v>#NAME?</v>
      </c>
      <c r="AQ102" s="4"/>
      <c r="AR102" s="4"/>
    </row>
    <row r="103" spans="1:44" ht="22.5" customHeight="1">
      <c r="A103" s="59"/>
      <c r="B103" s="88"/>
      <c r="C103" s="88">
        <f t="shared" si="0"/>
        <v>27</v>
      </c>
      <c r="D103" s="88"/>
      <c r="E103" s="88"/>
      <c r="F103" s="88"/>
      <c r="G103" s="89"/>
      <c r="H103" s="114"/>
      <c r="I103" s="23"/>
      <c r="J103" s="63"/>
      <c r="K103" s="59"/>
      <c r="L103" s="59"/>
      <c r="M103" s="59"/>
      <c r="N103" s="53"/>
      <c r="O103" s="63"/>
      <c r="P103" s="64"/>
      <c r="Q103" s="65"/>
      <c r="R103" s="65"/>
      <c r="S103" s="66"/>
      <c r="T103" s="66"/>
      <c r="U103" s="66"/>
      <c r="V103" s="66"/>
      <c r="W103" s="65"/>
      <c r="X103" s="23"/>
      <c r="Y103" s="23"/>
      <c r="Z103" s="23"/>
      <c r="AA103" s="59"/>
      <c r="AB103" s="53"/>
      <c r="AC103" s="23"/>
      <c r="AD103" s="59"/>
      <c r="AE103" s="59"/>
      <c r="AF103" s="59"/>
      <c r="AG103" s="59"/>
      <c r="AM103" s="63"/>
      <c r="AN103" s="63" t="e">
        <f t="shared" ca="1" si="1"/>
        <v>#NAME?</v>
      </c>
      <c r="AQ103" s="4"/>
      <c r="AR103" s="4"/>
    </row>
    <row r="104" spans="1:44" ht="22.5" customHeight="1">
      <c r="A104" s="59"/>
      <c r="B104" s="87"/>
      <c r="C104" s="87">
        <f t="shared" si="0"/>
        <v>27</v>
      </c>
      <c r="D104" s="87"/>
      <c r="E104" s="87"/>
      <c r="F104" s="87"/>
      <c r="G104" s="85"/>
      <c r="H104" s="116"/>
      <c r="I104" s="23"/>
      <c r="J104" s="63"/>
      <c r="K104" s="59"/>
      <c r="L104" s="59"/>
      <c r="M104" s="59"/>
      <c r="N104" s="53"/>
      <c r="O104" s="63"/>
      <c r="P104" s="64"/>
      <c r="Q104" s="65"/>
      <c r="R104" s="65"/>
      <c r="S104" s="66"/>
      <c r="T104" s="66"/>
      <c r="U104" s="66"/>
      <c r="V104" s="66"/>
      <c r="W104" s="65"/>
      <c r="X104" s="23"/>
      <c r="Y104" s="23"/>
      <c r="Z104" s="23"/>
      <c r="AA104" s="59"/>
      <c r="AB104" s="53"/>
      <c r="AC104" s="23"/>
      <c r="AD104" s="59"/>
      <c r="AE104" s="59"/>
      <c r="AF104" s="59"/>
      <c r="AG104" s="59"/>
      <c r="AM104" s="63"/>
      <c r="AN104" s="63" t="e">
        <f t="shared" ca="1" si="1"/>
        <v>#NAME?</v>
      </c>
      <c r="AQ104" s="4"/>
      <c r="AR104" s="4"/>
    </row>
    <row r="105" spans="1:44" ht="22.5" customHeight="1">
      <c r="A105" s="59"/>
      <c r="B105" s="88"/>
      <c r="C105" s="88">
        <f t="shared" si="0"/>
        <v>27</v>
      </c>
      <c r="D105" s="88"/>
      <c r="E105" s="88"/>
      <c r="F105" s="88"/>
      <c r="G105" s="89"/>
      <c r="H105" s="114"/>
      <c r="I105" s="23"/>
      <c r="J105" s="63"/>
      <c r="K105" s="59"/>
      <c r="L105" s="59"/>
      <c r="M105" s="59"/>
      <c r="N105" s="53"/>
      <c r="O105" s="63"/>
      <c r="P105" s="64"/>
      <c r="Q105" s="65"/>
      <c r="R105" s="65"/>
      <c r="S105" s="66"/>
      <c r="T105" s="66"/>
      <c r="U105" s="66"/>
      <c r="V105" s="66"/>
      <c r="W105" s="65"/>
      <c r="X105" s="23"/>
      <c r="Y105" s="23"/>
      <c r="Z105" s="23"/>
      <c r="AA105" s="59"/>
      <c r="AB105" s="53"/>
      <c r="AC105" s="23"/>
      <c r="AD105" s="59"/>
      <c r="AE105" s="59"/>
      <c r="AF105" s="59"/>
      <c r="AG105" s="59"/>
      <c r="AM105" s="63"/>
      <c r="AN105" s="63" t="e">
        <f t="shared" ca="1" si="1"/>
        <v>#NAME?</v>
      </c>
      <c r="AQ105" s="4"/>
      <c r="AR105" s="4"/>
    </row>
    <row r="106" spans="1:44" ht="22.5" customHeight="1">
      <c r="A106" s="59"/>
      <c r="B106" s="87"/>
      <c r="C106" s="87">
        <f t="shared" si="0"/>
        <v>27</v>
      </c>
      <c r="D106" s="87"/>
      <c r="E106" s="87"/>
      <c r="F106" s="87"/>
      <c r="G106" s="85"/>
      <c r="H106" s="116"/>
      <c r="I106" s="23"/>
      <c r="J106" s="63"/>
      <c r="K106" s="59"/>
      <c r="L106" s="59"/>
      <c r="M106" s="59"/>
      <c r="N106" s="53"/>
      <c r="O106" s="63"/>
      <c r="P106" s="64"/>
      <c r="Q106" s="65"/>
      <c r="R106" s="65"/>
      <c r="S106" s="66"/>
      <c r="T106" s="66"/>
      <c r="U106" s="66"/>
      <c r="V106" s="66"/>
      <c r="W106" s="65"/>
      <c r="X106" s="23"/>
      <c r="Y106" s="23"/>
      <c r="Z106" s="23"/>
      <c r="AA106" s="59"/>
      <c r="AB106" s="53"/>
      <c r="AC106" s="23"/>
      <c r="AD106" s="59"/>
      <c r="AE106" s="59"/>
      <c r="AF106" s="59"/>
      <c r="AG106" s="59"/>
      <c r="AM106" s="63"/>
      <c r="AN106" s="63" t="e">
        <f t="shared" ca="1" si="1"/>
        <v>#NAME?</v>
      </c>
      <c r="AQ106" s="4"/>
      <c r="AR106" s="4"/>
    </row>
    <row r="107" spans="1:44" ht="22.5" customHeight="1">
      <c r="A107" s="59"/>
      <c r="B107" s="73"/>
      <c r="C107" s="73">
        <f t="shared" si="0"/>
        <v>27</v>
      </c>
      <c r="D107" s="73"/>
      <c r="E107" s="73"/>
      <c r="F107" s="73"/>
      <c r="G107" s="74"/>
      <c r="H107" s="117"/>
      <c r="I107" s="23"/>
      <c r="J107" s="63"/>
      <c r="K107" s="17"/>
      <c r="L107" s="17"/>
      <c r="M107" s="59"/>
      <c r="N107" s="53"/>
      <c r="O107" s="63"/>
      <c r="P107" s="64"/>
      <c r="Q107" s="65"/>
      <c r="R107" s="65"/>
      <c r="S107" s="65"/>
      <c r="T107" s="65"/>
      <c r="U107" s="65"/>
      <c r="V107" s="65"/>
      <c r="W107" s="65"/>
      <c r="X107" s="23"/>
      <c r="Y107" s="23"/>
      <c r="Z107" s="23"/>
      <c r="AA107" s="59"/>
      <c r="AB107" s="67"/>
      <c r="AC107" s="23"/>
      <c r="AD107" s="59"/>
      <c r="AE107" s="59"/>
      <c r="AF107" s="59"/>
      <c r="AG107" s="59"/>
      <c r="AM107" s="63"/>
      <c r="AN107" s="63" t="e">
        <f t="shared" ca="1" si="1"/>
        <v>#NAME?</v>
      </c>
      <c r="AQ107" s="4"/>
      <c r="AR107" s="4"/>
    </row>
    <row r="108" spans="1:44" ht="22.5" customHeight="1">
      <c r="A108" s="59"/>
      <c r="B108" s="73"/>
      <c r="C108" s="73">
        <f t="shared" si="0"/>
        <v>27</v>
      </c>
      <c r="D108" s="73"/>
      <c r="E108" s="73"/>
      <c r="F108" s="73"/>
      <c r="G108" s="74"/>
      <c r="H108" s="74"/>
      <c r="I108" s="23"/>
      <c r="J108" s="63"/>
      <c r="K108" s="17"/>
      <c r="L108" s="17"/>
      <c r="M108" s="59"/>
      <c r="N108" s="53"/>
      <c r="O108" s="63"/>
      <c r="P108" s="64"/>
      <c r="Q108" s="65"/>
      <c r="R108" s="65"/>
      <c r="S108" s="65"/>
      <c r="T108" s="65"/>
      <c r="U108" s="65"/>
      <c r="V108" s="65"/>
      <c r="W108" s="65"/>
      <c r="X108" s="23"/>
      <c r="Y108" s="23"/>
      <c r="Z108" s="23"/>
      <c r="AA108" s="59"/>
      <c r="AB108" s="67"/>
      <c r="AC108" s="23"/>
      <c r="AD108" s="59"/>
      <c r="AE108" s="59"/>
      <c r="AF108" s="59"/>
      <c r="AG108" s="59"/>
      <c r="AM108" s="63"/>
      <c r="AN108" s="63" t="e">
        <f t="shared" ca="1" si="1"/>
        <v>#NAME?</v>
      </c>
      <c r="AQ108" s="4"/>
      <c r="AR108" s="4"/>
    </row>
    <row r="109" spans="1:44" ht="22.5" customHeight="1">
      <c r="A109" s="59"/>
      <c r="B109" s="63"/>
      <c r="C109" s="63">
        <f t="shared" si="0"/>
        <v>27</v>
      </c>
      <c r="D109" s="63"/>
      <c r="E109" s="63"/>
      <c r="F109" s="63"/>
      <c r="G109" s="63"/>
      <c r="H109" s="63"/>
      <c r="I109" s="23"/>
      <c r="J109" s="63"/>
      <c r="N109" s="53"/>
      <c r="O109" s="53"/>
      <c r="P109" s="64"/>
      <c r="Q109" s="65"/>
      <c r="R109" s="65"/>
      <c r="S109" s="66"/>
      <c r="T109" s="66"/>
      <c r="U109" s="66"/>
      <c r="V109" s="66"/>
      <c r="W109" s="65"/>
      <c r="X109" s="23"/>
      <c r="Y109" s="23"/>
      <c r="Z109" s="23"/>
      <c r="AA109" s="59"/>
      <c r="AB109" s="53"/>
      <c r="AD109" s="59"/>
      <c r="AE109" s="59"/>
      <c r="AF109" s="59"/>
      <c r="AG109" s="59"/>
      <c r="AM109" s="63"/>
      <c r="AN109" s="63" t="e">
        <f t="shared" ca="1" si="1"/>
        <v>#NAME?</v>
      </c>
      <c r="AQ109" s="4"/>
      <c r="AR109" s="4"/>
    </row>
    <row r="110" spans="1:44" ht="22.5" customHeight="1">
      <c r="A110" s="59"/>
      <c r="B110" s="63"/>
      <c r="C110" s="63">
        <f t="shared" si="0"/>
        <v>27</v>
      </c>
      <c r="D110" s="63"/>
      <c r="E110" s="63"/>
      <c r="F110" s="63"/>
      <c r="G110" s="63"/>
      <c r="H110" s="63"/>
      <c r="I110" s="23"/>
      <c r="J110" s="63"/>
      <c r="N110" s="53"/>
      <c r="O110" s="53"/>
      <c r="P110" s="64"/>
      <c r="Q110" s="65"/>
      <c r="R110" s="65"/>
      <c r="S110" s="66"/>
      <c r="T110" s="66"/>
      <c r="U110" s="66"/>
      <c r="V110" s="66"/>
      <c r="W110" s="65"/>
      <c r="X110" s="23"/>
      <c r="Y110" s="23"/>
      <c r="Z110" s="23"/>
      <c r="AA110" s="59"/>
      <c r="AB110" s="53"/>
      <c r="AD110" s="59"/>
      <c r="AE110" s="59"/>
      <c r="AF110" s="59"/>
      <c r="AG110" s="59"/>
      <c r="AM110" s="63"/>
      <c r="AN110" s="63" t="e">
        <f t="shared" ca="1" si="1"/>
        <v>#NAME?</v>
      </c>
      <c r="AQ110" s="4"/>
      <c r="AR110" s="4"/>
    </row>
    <row r="111" spans="1:44" ht="22.5" customHeight="1">
      <c r="A111" s="59"/>
      <c r="B111" s="87"/>
      <c r="C111" s="87">
        <f t="shared" si="0"/>
        <v>27</v>
      </c>
      <c r="D111" s="87"/>
      <c r="E111" s="87"/>
      <c r="F111" s="87"/>
      <c r="G111" s="85"/>
      <c r="H111" s="85"/>
      <c r="I111" s="23"/>
      <c r="J111" s="63"/>
      <c r="K111" s="59"/>
      <c r="L111" s="59"/>
      <c r="M111" s="59"/>
      <c r="N111" s="53"/>
      <c r="O111" s="63"/>
      <c r="P111" s="64"/>
      <c r="Q111" s="65"/>
      <c r="R111" s="65"/>
      <c r="S111" s="66"/>
      <c r="T111" s="66"/>
      <c r="U111" s="66"/>
      <c r="V111" s="66"/>
      <c r="W111" s="65"/>
      <c r="X111" s="23"/>
      <c r="Y111" s="23"/>
      <c r="Z111" s="23"/>
      <c r="AA111" s="59"/>
      <c r="AB111" s="53"/>
      <c r="AC111" s="23"/>
      <c r="AD111" s="59"/>
      <c r="AE111" s="59"/>
      <c r="AF111" s="59"/>
      <c r="AG111" s="59"/>
      <c r="AM111" s="63"/>
      <c r="AN111" s="63" t="e">
        <f t="shared" ca="1" si="1"/>
        <v>#NAME?</v>
      </c>
      <c r="AQ111" s="4"/>
      <c r="AR111" s="4"/>
    </row>
    <row r="112" spans="1:44" ht="22.5" customHeight="1">
      <c r="A112" s="59"/>
      <c r="B112" s="73"/>
      <c r="C112" s="73">
        <f t="shared" si="0"/>
        <v>27</v>
      </c>
      <c r="D112" s="73"/>
      <c r="E112" s="73"/>
      <c r="F112" s="73"/>
      <c r="G112" s="74"/>
      <c r="H112" s="74"/>
      <c r="I112" s="23"/>
      <c r="J112" s="63"/>
      <c r="K112" s="17"/>
      <c r="L112" s="17"/>
      <c r="M112" s="59"/>
      <c r="N112" s="53"/>
      <c r="O112" s="63"/>
      <c r="P112" s="64"/>
      <c r="Q112" s="65"/>
      <c r="R112" s="65"/>
      <c r="S112" s="65"/>
      <c r="T112" s="65"/>
      <c r="U112" s="65"/>
      <c r="V112" s="65"/>
      <c r="W112" s="65"/>
      <c r="X112" s="23"/>
      <c r="Y112" s="23"/>
      <c r="Z112" s="23"/>
      <c r="AA112" s="59"/>
      <c r="AB112" s="67"/>
      <c r="AC112" s="23"/>
      <c r="AD112" s="59"/>
      <c r="AE112" s="59"/>
      <c r="AF112" s="59"/>
      <c r="AG112" s="59"/>
      <c r="AM112" s="63"/>
      <c r="AN112" s="63" t="e">
        <f t="shared" ca="1" si="1"/>
        <v>#NAME?</v>
      </c>
      <c r="AQ112" s="4"/>
      <c r="AR112" s="4"/>
    </row>
    <row r="113" spans="1:44" ht="22.5" customHeight="1">
      <c r="A113" s="59"/>
      <c r="B113" s="73"/>
      <c r="C113" s="73">
        <f t="shared" si="0"/>
        <v>27</v>
      </c>
      <c r="D113" s="73"/>
      <c r="E113" s="73"/>
      <c r="F113" s="73"/>
      <c r="G113" s="74"/>
      <c r="H113" s="74"/>
      <c r="I113" s="23"/>
      <c r="J113" s="63"/>
      <c r="K113" s="17"/>
      <c r="L113" s="17"/>
      <c r="M113" s="59"/>
      <c r="N113" s="53"/>
      <c r="O113" s="63"/>
      <c r="P113" s="64"/>
      <c r="Q113" s="65"/>
      <c r="R113" s="65"/>
      <c r="S113" s="65"/>
      <c r="T113" s="65"/>
      <c r="U113" s="65"/>
      <c r="V113" s="65"/>
      <c r="W113" s="65"/>
      <c r="X113" s="23"/>
      <c r="Y113" s="23"/>
      <c r="Z113" s="23"/>
      <c r="AA113" s="59"/>
      <c r="AB113" s="67"/>
      <c r="AC113" s="23"/>
      <c r="AD113" s="59"/>
      <c r="AE113" s="59"/>
      <c r="AF113" s="59"/>
      <c r="AG113" s="59"/>
      <c r="AM113" s="63" t="s">
        <v>329</v>
      </c>
      <c r="AN113" s="63" t="e">
        <f t="shared" ca="1" si="1"/>
        <v>#NAME?</v>
      </c>
      <c r="AQ113" s="4"/>
      <c r="AR113" s="4"/>
    </row>
    <row r="114" spans="1:44" ht="22.5" customHeight="1">
      <c r="A114" s="59"/>
      <c r="B114" s="87"/>
      <c r="C114" s="87">
        <f t="shared" si="0"/>
        <v>27</v>
      </c>
      <c r="D114" s="87"/>
      <c r="E114" s="87"/>
      <c r="F114" s="87"/>
      <c r="G114" s="85"/>
      <c r="H114" s="85"/>
      <c r="I114" s="23"/>
      <c r="J114" s="63"/>
      <c r="K114" s="59"/>
      <c r="L114" s="59"/>
      <c r="M114" s="59"/>
      <c r="N114" s="53"/>
      <c r="O114" s="63"/>
      <c r="P114" s="64"/>
      <c r="Q114" s="65"/>
      <c r="R114" s="65"/>
      <c r="S114" s="66"/>
      <c r="T114" s="66"/>
      <c r="U114" s="66"/>
      <c r="V114" s="66"/>
      <c r="W114" s="65"/>
      <c r="X114" s="23"/>
      <c r="Y114" s="23"/>
      <c r="Z114" s="23"/>
      <c r="AA114" s="59"/>
      <c r="AB114" s="53"/>
      <c r="AC114" s="23"/>
      <c r="AD114" s="59"/>
      <c r="AE114" s="59"/>
      <c r="AF114" s="59"/>
      <c r="AG114" s="59"/>
      <c r="AM114" s="63"/>
      <c r="AN114" s="63" t="e">
        <f t="shared" ca="1" si="1"/>
        <v>#NAME?</v>
      </c>
      <c r="AQ114" s="4"/>
      <c r="AR114" s="4"/>
    </row>
    <row r="115" spans="1:44" ht="22.5" customHeight="1">
      <c r="A115" s="59"/>
      <c r="B115" s="87"/>
      <c r="C115" s="87">
        <f t="shared" si="0"/>
        <v>27</v>
      </c>
      <c r="D115" s="87"/>
      <c r="E115" s="87"/>
      <c r="F115" s="87"/>
      <c r="G115" s="85"/>
      <c r="H115" s="85"/>
      <c r="I115" s="23"/>
      <c r="J115" s="63"/>
      <c r="K115" s="59"/>
      <c r="L115" s="59"/>
      <c r="M115" s="59"/>
      <c r="N115" s="53"/>
      <c r="O115" s="63"/>
      <c r="P115" s="64"/>
      <c r="Q115" s="65"/>
      <c r="R115" s="65"/>
      <c r="S115" s="66"/>
      <c r="T115" s="66"/>
      <c r="U115" s="66"/>
      <c r="V115" s="66"/>
      <c r="W115" s="65"/>
      <c r="X115" s="23"/>
      <c r="Y115" s="23"/>
      <c r="Z115" s="23"/>
      <c r="AA115" s="59"/>
      <c r="AB115" s="53"/>
      <c r="AC115" s="23"/>
      <c r="AD115" s="59"/>
      <c r="AE115" s="59"/>
      <c r="AF115" s="59"/>
      <c r="AG115" s="59"/>
      <c r="AM115" s="63">
        <v>65011</v>
      </c>
      <c r="AN115" s="63" t="e">
        <f t="shared" ca="1" si="1"/>
        <v>#NAME?</v>
      </c>
      <c r="AQ115" s="4"/>
      <c r="AR115" s="4"/>
    </row>
    <row r="116" spans="1:44" ht="22.5" customHeight="1">
      <c r="A116" s="59"/>
      <c r="B116" s="87"/>
      <c r="C116" s="87">
        <f t="shared" si="0"/>
        <v>27</v>
      </c>
      <c r="D116" s="87"/>
      <c r="E116" s="87"/>
      <c r="F116" s="87"/>
      <c r="G116" s="85"/>
      <c r="H116" s="85"/>
      <c r="I116" s="23"/>
      <c r="J116" s="63"/>
      <c r="K116" s="59"/>
      <c r="L116" s="59"/>
      <c r="M116" s="59"/>
      <c r="N116" s="53"/>
      <c r="O116" s="63"/>
      <c r="P116" s="64"/>
      <c r="Q116" s="65"/>
      <c r="R116" s="65"/>
      <c r="S116" s="66"/>
      <c r="T116" s="66"/>
      <c r="U116" s="66"/>
      <c r="V116" s="66"/>
      <c r="W116" s="65"/>
      <c r="X116" s="23"/>
      <c r="Y116" s="23"/>
      <c r="Z116" s="23"/>
      <c r="AA116" s="59"/>
      <c r="AB116" s="53"/>
      <c r="AC116" s="23"/>
      <c r="AD116" s="59"/>
      <c r="AE116" s="59"/>
      <c r="AF116" s="59"/>
      <c r="AG116" s="59"/>
      <c r="AM116" s="63">
        <v>28894</v>
      </c>
      <c r="AN116" s="63" t="e">
        <f t="shared" ca="1" si="1"/>
        <v>#NAME?</v>
      </c>
      <c r="AQ116" s="4"/>
      <c r="AR116" s="4"/>
    </row>
    <row r="117" spans="1:44" ht="22.5" customHeight="1">
      <c r="A117" s="59"/>
      <c r="B117" s="63"/>
      <c r="C117" s="63">
        <f t="shared" si="0"/>
        <v>27</v>
      </c>
      <c r="D117" s="63"/>
      <c r="E117" s="63"/>
      <c r="F117" s="63"/>
      <c r="G117" s="63"/>
      <c r="H117" s="63"/>
      <c r="I117" s="86"/>
      <c r="J117" s="63"/>
      <c r="N117" s="53"/>
      <c r="O117" s="53"/>
      <c r="P117" s="64"/>
      <c r="Q117" s="65"/>
      <c r="R117" s="65"/>
      <c r="S117" s="66"/>
      <c r="T117" s="66"/>
      <c r="U117" s="66"/>
      <c r="V117" s="66"/>
      <c r="W117" s="65"/>
      <c r="X117" s="23"/>
      <c r="Y117" s="23"/>
      <c r="Z117" s="23"/>
      <c r="AA117" s="59"/>
      <c r="AB117" s="53"/>
      <c r="AD117" s="59"/>
      <c r="AE117" s="59"/>
      <c r="AF117" s="59"/>
      <c r="AG117" s="59"/>
      <c r="AM117" s="63"/>
      <c r="AN117" s="63" t="e">
        <f t="shared" ca="1" si="1"/>
        <v>#NAME?</v>
      </c>
      <c r="AQ117" s="4"/>
      <c r="AR117" s="4"/>
    </row>
    <row r="118" spans="1:44" ht="22.5" customHeight="1">
      <c r="A118" s="59"/>
      <c r="B118" s="87"/>
      <c r="C118" s="87">
        <f t="shared" si="0"/>
        <v>27</v>
      </c>
      <c r="D118" s="87"/>
      <c r="E118" s="87"/>
      <c r="F118" s="87"/>
      <c r="G118" s="85"/>
      <c r="H118" s="85"/>
      <c r="I118" s="23"/>
      <c r="J118" s="63"/>
      <c r="K118" s="59"/>
      <c r="L118" s="59"/>
      <c r="M118" s="59"/>
      <c r="N118" s="53"/>
      <c r="O118" s="63"/>
      <c r="P118" s="64"/>
      <c r="Q118" s="65"/>
      <c r="R118" s="65"/>
      <c r="S118" s="66"/>
      <c r="T118" s="66"/>
      <c r="U118" s="66"/>
      <c r="V118" s="66"/>
      <c r="W118" s="65"/>
      <c r="X118" s="23"/>
      <c r="Y118" s="23"/>
      <c r="Z118" s="23"/>
      <c r="AA118" s="59"/>
      <c r="AB118" s="53"/>
      <c r="AC118" s="23"/>
      <c r="AD118" s="59"/>
      <c r="AE118" s="59"/>
      <c r="AF118" s="59"/>
      <c r="AG118" s="59"/>
      <c r="AM118" s="63"/>
      <c r="AN118" s="63" t="e">
        <f t="shared" ca="1" si="1"/>
        <v>#NAME?</v>
      </c>
      <c r="AQ118" s="4"/>
      <c r="AR118" s="4"/>
    </row>
    <row r="119" spans="1:44" ht="22.5" customHeight="1">
      <c r="A119" s="59"/>
      <c r="B119" s="88"/>
      <c r="C119" s="88">
        <f t="shared" si="0"/>
        <v>27</v>
      </c>
      <c r="D119" s="88"/>
      <c r="E119" s="88"/>
      <c r="F119" s="88"/>
      <c r="G119" s="89"/>
      <c r="H119" s="89"/>
      <c r="I119" s="23"/>
      <c r="J119" s="63"/>
      <c r="K119" s="59"/>
      <c r="L119" s="59"/>
      <c r="M119" s="59"/>
      <c r="N119" s="53"/>
      <c r="O119" s="63"/>
      <c r="P119" s="64"/>
      <c r="Q119" s="65"/>
      <c r="R119" s="65"/>
      <c r="S119" s="66"/>
      <c r="T119" s="66"/>
      <c r="U119" s="66"/>
      <c r="V119" s="66"/>
      <c r="W119" s="65"/>
      <c r="X119" s="23"/>
      <c r="Y119" s="23"/>
      <c r="Z119" s="23"/>
      <c r="AA119" s="59"/>
      <c r="AB119" s="53"/>
      <c r="AC119" s="23"/>
      <c r="AD119" s="59"/>
      <c r="AE119" s="59"/>
      <c r="AF119" s="59"/>
      <c r="AG119" s="59"/>
      <c r="AM119" s="63"/>
      <c r="AN119" s="63" t="e">
        <f t="shared" ca="1" si="1"/>
        <v>#NAME?</v>
      </c>
      <c r="AQ119" s="4"/>
      <c r="AR119" s="4"/>
    </row>
    <row r="120" spans="1:44" ht="22.5" customHeight="1">
      <c r="A120" s="59"/>
      <c r="B120" s="63"/>
      <c r="C120" s="63">
        <f t="shared" si="0"/>
        <v>27</v>
      </c>
      <c r="D120" s="63"/>
      <c r="E120" s="63"/>
      <c r="F120" s="63"/>
      <c r="G120" s="63"/>
      <c r="H120" s="63"/>
      <c r="I120" s="86"/>
      <c r="J120" s="118"/>
      <c r="N120" s="53"/>
      <c r="O120" s="53"/>
      <c r="P120" s="64"/>
      <c r="Q120" s="65"/>
      <c r="R120" s="65"/>
      <c r="S120" s="66"/>
      <c r="T120" s="66"/>
      <c r="U120" s="66"/>
      <c r="V120" s="66"/>
      <c r="W120" s="65"/>
      <c r="X120" s="23"/>
      <c r="Y120" s="23"/>
      <c r="Z120" s="23"/>
      <c r="AA120" s="59"/>
      <c r="AB120" s="53"/>
      <c r="AD120" s="59"/>
      <c r="AE120" s="59"/>
      <c r="AF120" s="59"/>
      <c r="AG120" s="59"/>
      <c r="AM120" s="63">
        <v>4704</v>
      </c>
      <c r="AN120" s="63" t="e">
        <f t="shared" ca="1" si="1"/>
        <v>#NAME?</v>
      </c>
      <c r="AQ120" s="4"/>
      <c r="AR120" s="4"/>
    </row>
    <row r="121" spans="1:44" ht="22.5" customHeight="1">
      <c r="A121" s="59"/>
      <c r="B121" s="63"/>
      <c r="C121" s="63">
        <f t="shared" si="0"/>
        <v>27</v>
      </c>
      <c r="D121" s="63"/>
      <c r="E121" s="63"/>
      <c r="F121" s="63"/>
      <c r="G121" s="63"/>
      <c r="H121" s="63"/>
      <c r="I121" s="86"/>
      <c r="J121" s="63"/>
      <c r="N121" s="53"/>
      <c r="O121" s="53"/>
      <c r="P121" s="64"/>
      <c r="Q121" s="65"/>
      <c r="R121" s="65"/>
      <c r="S121" s="66"/>
      <c r="T121" s="66"/>
      <c r="U121" s="66"/>
      <c r="V121" s="66"/>
      <c r="W121" s="65"/>
      <c r="X121" s="23"/>
      <c r="Y121" s="23"/>
      <c r="Z121" s="23"/>
      <c r="AA121" s="59"/>
      <c r="AB121" s="53"/>
      <c r="AD121" s="59"/>
      <c r="AE121" s="59"/>
      <c r="AF121" s="59"/>
      <c r="AG121" s="59"/>
      <c r="AM121" s="63"/>
      <c r="AN121" s="63" t="e">
        <f t="shared" ca="1" si="1"/>
        <v>#NAME?</v>
      </c>
      <c r="AQ121" s="4"/>
      <c r="AR121" s="4"/>
    </row>
    <row r="122" spans="1:44" ht="22.5" customHeight="1">
      <c r="A122" s="59"/>
      <c r="B122" s="63"/>
      <c r="C122" s="63">
        <f t="shared" si="0"/>
        <v>27</v>
      </c>
      <c r="D122" s="63"/>
      <c r="E122" s="63"/>
      <c r="F122" s="63"/>
      <c r="G122" s="63"/>
      <c r="H122" s="63"/>
      <c r="I122" s="86"/>
      <c r="J122" s="63"/>
      <c r="N122" s="53"/>
      <c r="O122" s="53"/>
      <c r="P122" s="64"/>
      <c r="Q122" s="65"/>
      <c r="R122" s="65"/>
      <c r="S122" s="66"/>
      <c r="T122" s="66"/>
      <c r="U122" s="66"/>
      <c r="V122" s="66"/>
      <c r="W122" s="65"/>
      <c r="X122" s="23"/>
      <c r="Y122" s="23"/>
      <c r="Z122" s="23"/>
      <c r="AA122" s="59"/>
      <c r="AB122" s="53"/>
      <c r="AD122" s="59"/>
      <c r="AE122" s="59"/>
      <c r="AF122" s="59"/>
      <c r="AG122" s="59"/>
      <c r="AM122" s="63"/>
      <c r="AN122" s="63" t="e">
        <f t="shared" ca="1" si="1"/>
        <v>#NAME?</v>
      </c>
      <c r="AQ122" s="4"/>
      <c r="AR122" s="4"/>
    </row>
    <row r="123" spans="1:44" ht="22.5" customHeight="1">
      <c r="A123" s="59"/>
      <c r="B123" s="87"/>
      <c r="C123" s="87">
        <f t="shared" si="0"/>
        <v>27</v>
      </c>
      <c r="D123" s="87"/>
      <c r="E123" s="87"/>
      <c r="F123" s="87"/>
      <c r="G123" s="85"/>
      <c r="H123" s="85"/>
      <c r="I123" s="23"/>
      <c r="J123" s="63"/>
      <c r="K123" s="59"/>
      <c r="L123" s="59"/>
      <c r="M123" s="59"/>
      <c r="N123" s="53"/>
      <c r="O123" s="63"/>
      <c r="P123" s="64"/>
      <c r="Q123" s="65"/>
      <c r="R123" s="65"/>
      <c r="S123" s="66"/>
      <c r="T123" s="66"/>
      <c r="U123" s="66"/>
      <c r="V123" s="66"/>
      <c r="W123" s="65"/>
      <c r="X123" s="23"/>
      <c r="Y123" s="23"/>
      <c r="Z123" s="23"/>
      <c r="AA123" s="59"/>
      <c r="AB123" s="53"/>
      <c r="AC123" s="23"/>
      <c r="AD123" s="59"/>
      <c r="AE123" s="59"/>
      <c r="AF123" s="59"/>
      <c r="AG123" s="59"/>
      <c r="AM123" s="118">
        <v>109881</v>
      </c>
      <c r="AN123" s="118" t="e">
        <f t="shared" ca="1" si="1"/>
        <v>#NAME?</v>
      </c>
      <c r="AQ123" s="4"/>
      <c r="AR123" s="4"/>
    </row>
    <row r="124" spans="1:44" ht="22.5" customHeight="1">
      <c r="A124" s="59"/>
      <c r="B124" s="87"/>
      <c r="C124" s="87">
        <f t="shared" si="0"/>
        <v>27</v>
      </c>
      <c r="D124" s="87"/>
      <c r="E124" s="87"/>
      <c r="F124" s="87"/>
      <c r="G124" s="85"/>
      <c r="H124" s="85"/>
      <c r="I124" s="23"/>
      <c r="J124" s="63"/>
      <c r="K124" s="59"/>
      <c r="L124" s="59"/>
      <c r="M124" s="59"/>
      <c r="N124" s="53"/>
      <c r="O124" s="63"/>
      <c r="P124" s="64"/>
      <c r="Q124" s="65"/>
      <c r="R124" s="65"/>
      <c r="S124" s="66"/>
      <c r="T124" s="66"/>
      <c r="U124" s="66"/>
      <c r="V124" s="66"/>
      <c r="W124" s="65"/>
      <c r="X124" s="23"/>
      <c r="Y124" s="23"/>
      <c r="Z124" s="23"/>
      <c r="AA124" s="59"/>
      <c r="AB124" s="53"/>
      <c r="AC124" s="23"/>
      <c r="AD124" s="59"/>
      <c r="AE124" s="59"/>
      <c r="AF124" s="59"/>
      <c r="AG124" s="59"/>
      <c r="AM124" s="63">
        <v>43641</v>
      </c>
      <c r="AN124" s="63" t="e">
        <f t="shared" ca="1" si="1"/>
        <v>#NAME?</v>
      </c>
      <c r="AQ124" s="4"/>
      <c r="AR124" s="4"/>
    </row>
    <row r="125" spans="1:44" ht="22.5" customHeight="1">
      <c r="A125" s="59"/>
      <c r="B125" s="87"/>
      <c r="C125" s="87">
        <f t="shared" si="0"/>
        <v>27</v>
      </c>
      <c r="D125" s="87"/>
      <c r="E125" s="87"/>
      <c r="F125" s="87"/>
      <c r="G125" s="85"/>
      <c r="H125" s="85"/>
      <c r="I125" s="23"/>
      <c r="J125" s="63"/>
      <c r="K125" s="59"/>
      <c r="L125" s="59"/>
      <c r="M125" s="59"/>
      <c r="N125" s="53"/>
      <c r="O125" s="63"/>
      <c r="P125" s="64"/>
      <c r="Q125" s="65"/>
      <c r="R125" s="65"/>
      <c r="S125" s="66"/>
      <c r="T125" s="66"/>
      <c r="U125" s="66"/>
      <c r="V125" s="66"/>
      <c r="W125" s="65"/>
      <c r="X125" s="23"/>
      <c r="Y125" s="23"/>
      <c r="Z125" s="23"/>
      <c r="AA125" s="59"/>
      <c r="AB125" s="53"/>
      <c r="AC125" s="23"/>
      <c r="AD125" s="59"/>
      <c r="AE125" s="59"/>
      <c r="AF125" s="59"/>
      <c r="AG125" s="59"/>
      <c r="AM125" s="63" t="s">
        <v>339</v>
      </c>
      <c r="AN125" s="63" t="e">
        <f t="shared" ca="1" si="1"/>
        <v>#NAME?</v>
      </c>
      <c r="AQ125" s="4"/>
      <c r="AR125" s="4"/>
    </row>
    <row r="126" spans="1:44" ht="22.5" customHeight="1">
      <c r="A126" s="59"/>
      <c r="B126" s="63"/>
      <c r="C126" s="63">
        <f t="shared" si="0"/>
        <v>27</v>
      </c>
      <c r="D126" s="63"/>
      <c r="E126" s="63"/>
      <c r="F126" s="63"/>
      <c r="G126" s="63"/>
      <c r="H126" s="63"/>
      <c r="I126" s="86"/>
      <c r="J126" s="63"/>
      <c r="N126" s="53"/>
      <c r="O126" s="53"/>
      <c r="P126" s="64"/>
      <c r="Q126" s="65"/>
      <c r="R126" s="65"/>
      <c r="S126" s="66"/>
      <c r="T126" s="66"/>
      <c r="U126" s="66"/>
      <c r="V126" s="66"/>
      <c r="W126" s="65"/>
      <c r="X126" s="23"/>
      <c r="Y126" s="23"/>
      <c r="Z126" s="23"/>
      <c r="AA126" s="59"/>
      <c r="AB126" s="53"/>
      <c r="AD126" s="59"/>
      <c r="AE126" s="59"/>
      <c r="AF126" s="59"/>
      <c r="AG126" s="59"/>
      <c r="AM126" s="63"/>
      <c r="AN126" s="63" t="e">
        <f t="shared" ca="1" si="1"/>
        <v>#NAME?</v>
      </c>
      <c r="AQ126" s="4"/>
      <c r="AR126" s="4"/>
    </row>
    <row r="127" spans="1:44" ht="22.5" customHeight="1">
      <c r="A127" s="59"/>
      <c r="B127" s="88"/>
      <c r="C127" s="88">
        <f t="shared" si="0"/>
        <v>27</v>
      </c>
      <c r="D127" s="88"/>
      <c r="E127" s="88"/>
      <c r="F127" s="88"/>
      <c r="G127" s="89"/>
      <c r="H127" s="89"/>
      <c r="I127" s="23"/>
      <c r="J127" s="63"/>
      <c r="K127" s="59"/>
      <c r="L127" s="59"/>
      <c r="M127" s="59"/>
      <c r="N127" s="53"/>
      <c r="O127" s="63"/>
      <c r="P127" s="64"/>
      <c r="Q127" s="65"/>
      <c r="R127" s="65"/>
      <c r="S127" s="66"/>
      <c r="T127" s="66"/>
      <c r="U127" s="66"/>
      <c r="V127" s="66"/>
      <c r="W127" s="65"/>
      <c r="X127" s="23"/>
      <c r="Y127" s="23"/>
      <c r="Z127" s="23"/>
      <c r="AA127" s="59"/>
      <c r="AB127" s="53"/>
      <c r="AC127" s="23"/>
      <c r="AD127" s="59"/>
      <c r="AE127" s="59"/>
      <c r="AF127" s="59"/>
      <c r="AG127" s="59"/>
      <c r="AM127" s="63"/>
      <c r="AN127" s="63" t="e">
        <f t="shared" ca="1" si="1"/>
        <v>#NAME?</v>
      </c>
      <c r="AQ127" s="4"/>
      <c r="AR127" s="4"/>
    </row>
    <row r="128" spans="1:44" ht="22.5" customHeight="1">
      <c r="A128" s="59"/>
      <c r="B128" s="75"/>
      <c r="C128" s="75">
        <f t="shared" si="0"/>
        <v>27</v>
      </c>
      <c r="D128" s="75"/>
      <c r="E128" s="75"/>
      <c r="F128" s="75"/>
      <c r="G128" s="76"/>
      <c r="H128" s="76"/>
      <c r="I128" s="23"/>
      <c r="J128" s="63"/>
      <c r="K128" s="17"/>
      <c r="L128" s="17"/>
      <c r="M128" s="59"/>
      <c r="N128" s="53"/>
      <c r="O128" s="63"/>
      <c r="P128" s="64"/>
      <c r="Q128" s="65"/>
      <c r="R128" s="65"/>
      <c r="S128" s="66"/>
      <c r="T128" s="66"/>
      <c r="U128" s="66"/>
      <c r="V128" s="66"/>
      <c r="W128" s="66"/>
      <c r="X128" s="23"/>
      <c r="Y128" s="23"/>
      <c r="Z128" s="23"/>
      <c r="AA128" s="59"/>
      <c r="AB128" s="67"/>
      <c r="AC128" s="23"/>
      <c r="AD128" s="59"/>
      <c r="AE128" s="59"/>
      <c r="AF128" s="59"/>
      <c r="AG128" s="59"/>
      <c r="AM128" s="63"/>
      <c r="AN128" s="63" t="e">
        <f t="shared" ca="1" si="1"/>
        <v>#NAME?</v>
      </c>
      <c r="AQ128" s="4"/>
      <c r="AR128" s="4"/>
    </row>
    <row r="129" spans="1:44" ht="22.5" customHeight="1">
      <c r="A129" s="59"/>
      <c r="B129" s="63"/>
      <c r="C129" s="63">
        <f t="shared" si="0"/>
        <v>27</v>
      </c>
      <c r="D129" s="63"/>
      <c r="E129" s="63"/>
      <c r="F129" s="63"/>
      <c r="G129" s="63"/>
      <c r="H129" s="63"/>
      <c r="I129" s="86"/>
      <c r="J129" s="63"/>
      <c r="N129" s="53"/>
      <c r="O129" s="53"/>
      <c r="P129" s="64"/>
      <c r="Q129" s="65"/>
      <c r="R129" s="65"/>
      <c r="S129" s="66"/>
      <c r="T129" s="66"/>
      <c r="U129" s="66"/>
      <c r="V129" s="66"/>
      <c r="W129" s="65"/>
      <c r="X129" s="23"/>
      <c r="Y129" s="23"/>
      <c r="Z129" s="23"/>
      <c r="AA129" s="59"/>
      <c r="AB129" s="53"/>
      <c r="AD129" s="59"/>
      <c r="AE129" s="59"/>
      <c r="AF129" s="59"/>
      <c r="AG129" s="59"/>
      <c r="AM129" s="63" t="s">
        <v>337</v>
      </c>
      <c r="AN129" s="63" t="e">
        <f t="shared" ca="1" si="1"/>
        <v>#NAME?</v>
      </c>
      <c r="AQ129" s="4"/>
      <c r="AR129" s="4"/>
    </row>
    <row r="130" spans="1:44" ht="22.5" customHeight="1">
      <c r="A130" s="59"/>
      <c r="B130" s="88"/>
      <c r="C130" s="88">
        <f t="shared" si="0"/>
        <v>27</v>
      </c>
      <c r="D130" s="88"/>
      <c r="E130" s="88"/>
      <c r="F130" s="88"/>
      <c r="G130" s="89"/>
      <c r="H130" s="89"/>
      <c r="I130" s="23"/>
      <c r="J130" s="63"/>
      <c r="K130" s="59"/>
      <c r="L130" s="59"/>
      <c r="M130" s="59"/>
      <c r="N130" s="53"/>
      <c r="O130" s="63"/>
      <c r="P130" s="64"/>
      <c r="Q130" s="65"/>
      <c r="R130" s="65"/>
      <c r="S130" s="66"/>
      <c r="T130" s="66"/>
      <c r="U130" s="66"/>
      <c r="V130" s="66"/>
      <c r="W130" s="65"/>
      <c r="X130" s="23"/>
      <c r="Y130" s="23"/>
      <c r="Z130" s="23"/>
      <c r="AA130" s="59"/>
      <c r="AB130" s="53"/>
      <c r="AC130" s="23"/>
      <c r="AD130" s="59"/>
      <c r="AE130" s="59"/>
      <c r="AF130" s="59"/>
      <c r="AG130" s="59"/>
      <c r="AM130" s="63"/>
      <c r="AN130" s="63" t="e">
        <f t="shared" ca="1" si="1"/>
        <v>#NAME?</v>
      </c>
      <c r="AQ130" s="4"/>
      <c r="AR130" s="4"/>
    </row>
    <row r="131" spans="1:44" ht="22.5" customHeight="1">
      <c r="A131" s="59"/>
      <c r="B131" s="63"/>
      <c r="C131" s="63">
        <f t="shared" si="0"/>
        <v>27</v>
      </c>
      <c r="D131" s="63"/>
      <c r="E131" s="63"/>
      <c r="F131" s="63"/>
      <c r="G131" s="63"/>
      <c r="H131" s="63"/>
      <c r="I131" s="23"/>
      <c r="J131" s="63"/>
      <c r="N131" s="53"/>
      <c r="O131" s="53"/>
      <c r="P131" s="64"/>
      <c r="Q131" s="65"/>
      <c r="R131" s="65"/>
      <c r="S131" s="66"/>
      <c r="T131" s="66"/>
      <c r="U131" s="66"/>
      <c r="V131" s="66"/>
      <c r="W131" s="65"/>
      <c r="X131" s="23"/>
      <c r="Y131" s="23"/>
      <c r="Z131" s="23"/>
      <c r="AA131" s="59"/>
      <c r="AB131" s="53"/>
      <c r="AD131" s="59"/>
      <c r="AE131" s="59"/>
      <c r="AF131" s="59"/>
      <c r="AG131" s="59"/>
      <c r="AM131" s="63">
        <v>56885</v>
      </c>
      <c r="AN131" s="63" t="e">
        <f t="shared" ca="1" si="1"/>
        <v>#NAME?</v>
      </c>
      <c r="AQ131" s="4"/>
      <c r="AR131" s="4"/>
    </row>
    <row r="132" spans="1:44" ht="22.5" customHeight="1">
      <c r="A132" s="59"/>
      <c r="B132" s="63"/>
      <c r="C132" s="63">
        <f t="shared" si="0"/>
        <v>27</v>
      </c>
      <c r="D132" s="63"/>
      <c r="E132" s="63"/>
      <c r="F132" s="63"/>
      <c r="G132" s="63"/>
      <c r="H132" s="63"/>
      <c r="I132" s="23"/>
      <c r="J132" s="63"/>
      <c r="N132" s="53"/>
      <c r="O132" s="53"/>
      <c r="P132" s="77"/>
      <c r="Q132" s="78"/>
      <c r="R132" s="65"/>
      <c r="S132" s="66"/>
      <c r="T132" s="66"/>
      <c r="U132" s="66"/>
      <c r="V132" s="66"/>
      <c r="W132" s="65"/>
      <c r="X132" s="23"/>
      <c r="Y132" s="23"/>
      <c r="Z132" s="23"/>
      <c r="AA132" s="59"/>
      <c r="AB132" s="53"/>
      <c r="AD132" s="59"/>
      <c r="AE132" s="59"/>
      <c r="AF132" s="59"/>
      <c r="AG132" s="59"/>
      <c r="AM132" s="63" t="s">
        <v>326</v>
      </c>
      <c r="AN132" s="63" t="e">
        <f t="shared" ca="1" si="1"/>
        <v>#NAME?</v>
      </c>
      <c r="AQ132" s="4"/>
      <c r="AR132" s="4"/>
    </row>
    <row r="133" spans="1:44" ht="22.5" customHeight="1">
      <c r="A133" s="59"/>
      <c r="B133" s="88"/>
      <c r="C133" s="88">
        <f t="shared" si="0"/>
        <v>27</v>
      </c>
      <c r="D133" s="88"/>
      <c r="E133" s="88"/>
      <c r="F133" s="88"/>
      <c r="G133" s="89"/>
      <c r="H133" s="89"/>
      <c r="I133" s="23"/>
      <c r="J133" s="63"/>
      <c r="K133" s="59"/>
      <c r="L133" s="59"/>
      <c r="M133" s="59"/>
      <c r="N133" s="53"/>
      <c r="O133" s="63"/>
      <c r="P133" s="64"/>
      <c r="Q133" s="65"/>
      <c r="R133" s="65"/>
      <c r="S133" s="66"/>
      <c r="T133" s="66"/>
      <c r="U133" s="66"/>
      <c r="V133" s="66"/>
      <c r="W133" s="65"/>
      <c r="X133" s="23"/>
      <c r="Y133" s="23"/>
      <c r="Z133" s="23"/>
      <c r="AA133" s="59"/>
      <c r="AB133" s="53"/>
      <c r="AC133" s="23"/>
      <c r="AD133" s="59"/>
      <c r="AE133" s="59"/>
      <c r="AF133" s="59"/>
      <c r="AG133" s="59"/>
      <c r="AM133" s="63"/>
      <c r="AN133" s="63" t="e">
        <f t="shared" ca="1" si="1"/>
        <v>#NAME?</v>
      </c>
      <c r="AQ133" s="4"/>
      <c r="AR133" s="4"/>
    </row>
    <row r="134" spans="1:44" ht="22.5" customHeight="1">
      <c r="A134" s="59"/>
      <c r="B134" s="87"/>
      <c r="C134" s="87">
        <f t="shared" si="0"/>
        <v>27</v>
      </c>
      <c r="D134" s="87"/>
      <c r="E134" s="87"/>
      <c r="F134" s="87"/>
      <c r="G134" s="85"/>
      <c r="H134" s="85"/>
      <c r="I134" s="23"/>
      <c r="J134" s="63"/>
      <c r="K134" s="59"/>
      <c r="L134" s="59"/>
      <c r="M134" s="59"/>
      <c r="N134" s="53"/>
      <c r="O134" s="63"/>
      <c r="P134" s="64"/>
      <c r="Q134" s="65"/>
      <c r="R134" s="65"/>
      <c r="S134" s="66"/>
      <c r="T134" s="66"/>
      <c r="U134" s="66"/>
      <c r="V134" s="66"/>
      <c r="W134" s="65"/>
      <c r="X134" s="23"/>
      <c r="Y134" s="23"/>
      <c r="Z134" s="23"/>
      <c r="AA134" s="59"/>
      <c r="AB134" s="53"/>
      <c r="AC134" s="23"/>
      <c r="AD134" s="59"/>
      <c r="AE134" s="59"/>
      <c r="AF134" s="59"/>
      <c r="AG134" s="59"/>
      <c r="AM134" s="63">
        <v>44654</v>
      </c>
      <c r="AN134" s="63" t="e">
        <f t="shared" ca="1" si="1"/>
        <v>#NAME?</v>
      </c>
      <c r="AQ134" s="4"/>
      <c r="AR134" s="4"/>
    </row>
    <row r="135" spans="1:44" ht="22.5" customHeight="1">
      <c r="A135" s="59"/>
      <c r="B135" s="88"/>
      <c r="C135" s="88">
        <f t="shared" si="0"/>
        <v>27</v>
      </c>
      <c r="D135" s="88"/>
      <c r="E135" s="88"/>
      <c r="F135" s="88"/>
      <c r="G135" s="89"/>
      <c r="H135" s="89"/>
      <c r="I135" s="23"/>
      <c r="J135" s="63"/>
      <c r="K135" s="59"/>
      <c r="L135" s="59"/>
      <c r="M135" s="59"/>
      <c r="N135" s="53"/>
      <c r="O135" s="63"/>
      <c r="P135" s="64"/>
      <c r="Q135" s="65"/>
      <c r="R135" s="65"/>
      <c r="S135" s="66"/>
      <c r="T135" s="66"/>
      <c r="U135" s="66"/>
      <c r="V135" s="66"/>
      <c r="W135" s="65"/>
      <c r="X135" s="23"/>
      <c r="Y135" s="23"/>
      <c r="Z135" s="23"/>
      <c r="AA135" s="59"/>
      <c r="AB135" s="53"/>
      <c r="AC135" s="23"/>
      <c r="AD135" s="59"/>
      <c r="AE135" s="59"/>
      <c r="AF135" s="59"/>
      <c r="AG135" s="59"/>
      <c r="AM135" s="63">
        <v>14190</v>
      </c>
      <c r="AN135" s="63" t="e">
        <f t="shared" ca="1" si="1"/>
        <v>#NAME?</v>
      </c>
      <c r="AQ135" s="4"/>
      <c r="AR135" s="4"/>
    </row>
    <row r="136" spans="1:44" ht="22.5" customHeight="1">
      <c r="A136" s="59"/>
      <c r="B136" s="88"/>
      <c r="C136" s="88">
        <f t="shared" si="0"/>
        <v>27</v>
      </c>
      <c r="D136" s="88"/>
      <c r="E136" s="88"/>
      <c r="F136" s="88"/>
      <c r="G136" s="89"/>
      <c r="H136" s="89"/>
      <c r="I136" s="23"/>
      <c r="J136" s="63"/>
      <c r="K136" s="59"/>
      <c r="L136" s="59"/>
      <c r="M136" s="59"/>
      <c r="N136" s="53"/>
      <c r="O136" s="63"/>
      <c r="P136" s="64"/>
      <c r="Q136" s="65"/>
      <c r="R136" s="65"/>
      <c r="S136" s="66"/>
      <c r="T136" s="66"/>
      <c r="U136" s="66"/>
      <c r="V136" s="66"/>
      <c r="W136" s="65"/>
      <c r="X136" s="23"/>
      <c r="Y136" s="23"/>
      <c r="Z136" s="23"/>
      <c r="AA136" s="59"/>
      <c r="AB136" s="53"/>
      <c r="AC136" s="23"/>
      <c r="AD136" s="59"/>
      <c r="AE136" s="59"/>
      <c r="AF136" s="59"/>
      <c r="AG136" s="59"/>
      <c r="AM136" s="63"/>
      <c r="AN136" s="63" t="e">
        <f t="shared" ca="1" si="1"/>
        <v>#NAME?</v>
      </c>
      <c r="AQ136" s="4"/>
      <c r="AR136" s="4"/>
    </row>
    <row r="137" spans="1:44" ht="22.5" customHeight="1">
      <c r="A137" s="59"/>
      <c r="B137" s="87"/>
      <c r="C137" s="87">
        <f t="shared" si="0"/>
        <v>27</v>
      </c>
      <c r="D137" s="87"/>
      <c r="E137" s="87"/>
      <c r="F137" s="87"/>
      <c r="G137" s="85"/>
      <c r="H137" s="85"/>
      <c r="I137" s="23"/>
      <c r="J137" s="63"/>
      <c r="K137" s="59"/>
      <c r="L137" s="59"/>
      <c r="M137" s="59"/>
      <c r="N137" s="53"/>
      <c r="O137" s="63"/>
      <c r="P137" s="109"/>
      <c r="Q137" s="65"/>
      <c r="R137" s="65"/>
      <c r="S137" s="66"/>
      <c r="T137" s="66"/>
      <c r="U137" s="66"/>
      <c r="V137" s="66"/>
      <c r="W137" s="65"/>
      <c r="X137" s="23"/>
      <c r="Y137" s="23"/>
      <c r="Z137" s="23"/>
      <c r="AA137" s="59"/>
      <c r="AB137" s="53"/>
      <c r="AC137" s="23"/>
      <c r="AD137" s="59"/>
      <c r="AE137" s="59"/>
      <c r="AF137" s="59"/>
      <c r="AG137" s="59"/>
      <c r="AM137" s="63"/>
      <c r="AN137" s="63" t="e">
        <f t="shared" ca="1" si="1"/>
        <v>#NAME?</v>
      </c>
      <c r="AQ137" s="4"/>
      <c r="AR137" s="4"/>
    </row>
    <row r="138" spans="1:44" ht="22.5" customHeight="1">
      <c r="A138" s="59"/>
      <c r="B138" s="75"/>
      <c r="C138" s="75">
        <f t="shared" si="0"/>
        <v>27</v>
      </c>
      <c r="D138" s="75"/>
      <c r="E138" s="75"/>
      <c r="F138" s="75"/>
      <c r="G138" s="76"/>
      <c r="H138" s="76"/>
      <c r="I138" s="23"/>
      <c r="J138" s="63"/>
      <c r="K138" s="17"/>
      <c r="L138" s="17"/>
      <c r="M138" s="59"/>
      <c r="N138" s="53"/>
      <c r="O138" s="63"/>
      <c r="P138" s="64"/>
      <c r="Q138" s="65"/>
      <c r="R138" s="84"/>
      <c r="S138" s="66"/>
      <c r="T138" s="66"/>
      <c r="U138" s="66"/>
      <c r="V138" s="66"/>
      <c r="W138" s="66"/>
      <c r="X138" s="23"/>
      <c r="Y138" s="23"/>
      <c r="Z138" s="23"/>
      <c r="AA138" s="59"/>
      <c r="AB138" s="67"/>
      <c r="AC138" s="23"/>
      <c r="AD138" s="59"/>
      <c r="AE138" s="59"/>
      <c r="AF138" s="59"/>
      <c r="AG138" s="59"/>
      <c r="AM138" s="63"/>
      <c r="AN138" s="63" t="e">
        <f t="shared" ca="1" si="1"/>
        <v>#NAME?</v>
      </c>
      <c r="AQ138" s="4"/>
      <c r="AR138" s="4"/>
    </row>
    <row r="139" spans="1:44" ht="22.5" customHeight="1">
      <c r="A139" s="59"/>
      <c r="B139" s="87"/>
      <c r="C139" s="87">
        <f t="shared" si="0"/>
        <v>27</v>
      </c>
      <c r="D139" s="87"/>
      <c r="E139" s="87"/>
      <c r="F139" s="87"/>
      <c r="G139" s="85"/>
      <c r="H139" s="85"/>
      <c r="I139" s="23"/>
      <c r="J139" s="63"/>
      <c r="K139" s="59"/>
      <c r="L139" s="59"/>
      <c r="M139" s="59"/>
      <c r="N139" s="53"/>
      <c r="O139" s="63"/>
      <c r="P139" s="64"/>
      <c r="Q139" s="65"/>
      <c r="R139" s="65"/>
      <c r="S139" s="66"/>
      <c r="T139" s="66"/>
      <c r="U139" s="66"/>
      <c r="V139" s="66"/>
      <c r="W139" s="65"/>
      <c r="X139" s="23"/>
      <c r="Y139" s="23"/>
      <c r="Z139" s="23"/>
      <c r="AA139" s="59"/>
      <c r="AB139" s="53"/>
      <c r="AC139" s="23"/>
      <c r="AD139" s="59"/>
      <c r="AE139" s="59"/>
      <c r="AF139" s="59"/>
      <c r="AG139" s="59"/>
      <c r="AM139" s="63"/>
      <c r="AN139" s="63" t="e">
        <f t="shared" ca="1" si="1"/>
        <v>#NAME?</v>
      </c>
      <c r="AQ139" s="4"/>
      <c r="AR139" s="4"/>
    </row>
    <row r="140" spans="1:44" ht="22.5" customHeight="1">
      <c r="A140" s="59"/>
      <c r="B140" s="88"/>
      <c r="C140" s="88">
        <f t="shared" si="0"/>
        <v>27</v>
      </c>
      <c r="D140" s="88"/>
      <c r="E140" s="88"/>
      <c r="F140" s="88"/>
      <c r="G140" s="89"/>
      <c r="H140" s="89"/>
      <c r="I140" s="23"/>
      <c r="J140" s="63"/>
      <c r="K140" s="59"/>
      <c r="L140" s="59"/>
      <c r="M140" s="59"/>
      <c r="N140" s="53"/>
      <c r="O140" s="63"/>
      <c r="P140" s="64"/>
      <c r="Q140" s="65"/>
      <c r="R140" s="65"/>
      <c r="S140" s="65"/>
      <c r="T140" s="65"/>
      <c r="U140" s="65"/>
      <c r="V140" s="65"/>
      <c r="W140" s="65"/>
      <c r="X140" s="23"/>
      <c r="Y140" s="23"/>
      <c r="Z140" s="23"/>
      <c r="AA140" s="59"/>
      <c r="AB140" s="53"/>
      <c r="AC140" s="23"/>
      <c r="AD140" s="59"/>
      <c r="AE140" s="59"/>
      <c r="AF140" s="59"/>
      <c r="AG140" s="59"/>
      <c r="AM140" s="63"/>
      <c r="AN140" s="63" t="e">
        <f t="shared" ca="1" si="1"/>
        <v>#NAME?</v>
      </c>
      <c r="AQ140" s="4"/>
      <c r="AR140" s="4"/>
    </row>
    <row r="141" spans="1:44" ht="22.5" customHeight="1">
      <c r="A141" s="59"/>
      <c r="B141" s="88"/>
      <c r="C141" s="88">
        <f t="shared" si="0"/>
        <v>27</v>
      </c>
      <c r="D141" s="88"/>
      <c r="E141" s="88"/>
      <c r="F141" s="88"/>
      <c r="G141" s="89"/>
      <c r="H141" s="89"/>
      <c r="I141" s="23"/>
      <c r="J141" s="63"/>
      <c r="K141" s="59"/>
      <c r="L141" s="59"/>
      <c r="M141" s="59"/>
      <c r="N141" s="53"/>
      <c r="O141" s="63"/>
      <c r="P141" s="64"/>
      <c r="Q141" s="65"/>
      <c r="R141" s="65"/>
      <c r="S141" s="65"/>
      <c r="T141" s="65"/>
      <c r="U141" s="65"/>
      <c r="V141" s="65"/>
      <c r="W141" s="65"/>
      <c r="X141" s="23"/>
      <c r="Y141" s="23"/>
      <c r="Z141" s="23"/>
      <c r="AA141" s="59"/>
      <c r="AB141" s="53"/>
      <c r="AC141" s="23"/>
      <c r="AD141" s="59"/>
      <c r="AE141" s="59"/>
      <c r="AF141" s="59"/>
      <c r="AG141" s="59"/>
      <c r="AM141" s="63">
        <v>54042</v>
      </c>
      <c r="AN141" s="63" t="e">
        <f t="shared" ca="1" si="1"/>
        <v>#NAME?</v>
      </c>
      <c r="AQ141" s="4"/>
      <c r="AR141" s="4"/>
    </row>
    <row r="142" spans="1:44" ht="22.5" customHeight="1">
      <c r="A142" s="59"/>
      <c r="B142" s="73"/>
      <c r="C142" s="73">
        <f t="shared" si="0"/>
        <v>27</v>
      </c>
      <c r="D142" s="73"/>
      <c r="E142" s="73"/>
      <c r="F142" s="73"/>
      <c r="G142" s="74"/>
      <c r="H142" s="74"/>
      <c r="I142" s="23"/>
      <c r="J142" s="63"/>
      <c r="K142" s="59"/>
      <c r="L142" s="59"/>
      <c r="M142" s="59"/>
      <c r="N142" s="53"/>
      <c r="O142" s="63"/>
      <c r="P142" s="64"/>
      <c r="Q142" s="65"/>
      <c r="R142" s="65"/>
      <c r="S142" s="65"/>
      <c r="T142" s="65"/>
      <c r="U142" s="65"/>
      <c r="V142" s="65"/>
      <c r="W142" s="65"/>
      <c r="X142" s="23"/>
      <c r="Y142" s="23"/>
      <c r="Z142" s="23"/>
      <c r="AA142" s="59"/>
      <c r="AB142" s="53"/>
      <c r="AC142" s="23"/>
      <c r="AD142" s="59"/>
      <c r="AE142" s="59"/>
      <c r="AF142" s="59"/>
      <c r="AG142" s="59"/>
      <c r="AM142" s="63"/>
      <c r="AN142" s="63" t="e">
        <f t="shared" ca="1" si="1"/>
        <v>#NAME?</v>
      </c>
      <c r="AQ142" s="4"/>
      <c r="AR142" s="4"/>
    </row>
    <row r="143" spans="1:44" ht="22.5" customHeight="1">
      <c r="A143" s="59"/>
      <c r="B143" s="73"/>
      <c r="C143" s="73">
        <f t="shared" si="0"/>
        <v>27</v>
      </c>
      <c r="D143" s="73"/>
      <c r="E143" s="73"/>
      <c r="F143" s="73"/>
      <c r="G143" s="74"/>
      <c r="H143" s="74"/>
      <c r="I143" s="23"/>
      <c r="J143" s="63"/>
      <c r="K143" s="59"/>
      <c r="L143" s="59"/>
      <c r="M143" s="59"/>
      <c r="N143" s="53"/>
      <c r="O143" s="63"/>
      <c r="P143" s="64"/>
      <c r="Q143" s="65"/>
      <c r="R143" s="65"/>
      <c r="S143" s="66"/>
      <c r="T143" s="66"/>
      <c r="U143" s="66"/>
      <c r="V143" s="66"/>
      <c r="W143" s="66"/>
      <c r="X143" s="23"/>
      <c r="Y143" s="23"/>
      <c r="Z143" s="23"/>
      <c r="AA143" s="59"/>
      <c r="AB143" s="53"/>
      <c r="AC143" s="23"/>
      <c r="AD143" s="59"/>
      <c r="AE143" s="59"/>
      <c r="AF143" s="59"/>
      <c r="AG143" s="59"/>
      <c r="AM143" s="63"/>
      <c r="AN143" s="63" t="e">
        <f t="shared" ca="1" si="1"/>
        <v>#NAME?</v>
      </c>
      <c r="AQ143" s="4"/>
      <c r="AR143" s="4"/>
    </row>
    <row r="144" spans="1:44" ht="22.5" customHeight="1">
      <c r="A144" s="59"/>
      <c r="B144" s="68"/>
      <c r="C144" s="68">
        <f t="shared" si="0"/>
        <v>27</v>
      </c>
      <c r="D144" s="68"/>
      <c r="E144" s="68"/>
      <c r="F144" s="68"/>
      <c r="G144" s="69"/>
      <c r="H144" s="69"/>
      <c r="I144" s="23"/>
      <c r="J144" s="63"/>
      <c r="K144" s="17"/>
      <c r="L144" s="17"/>
      <c r="M144" s="59"/>
      <c r="N144" s="53"/>
      <c r="O144" s="63"/>
      <c r="P144" s="64"/>
      <c r="Q144" s="65"/>
      <c r="R144" s="65"/>
      <c r="S144" s="66"/>
      <c r="T144" s="66"/>
      <c r="U144" s="66"/>
      <c r="V144" s="66"/>
      <c r="W144" s="65"/>
      <c r="X144" s="23"/>
      <c r="Y144" s="23"/>
      <c r="Z144" s="23"/>
      <c r="AA144" s="59"/>
      <c r="AB144" s="67"/>
      <c r="AC144" s="23"/>
      <c r="AD144" s="59"/>
      <c r="AE144" s="59"/>
      <c r="AF144" s="59"/>
      <c r="AG144" s="59"/>
      <c r="AM144" s="63"/>
      <c r="AN144" s="63" t="e">
        <f t="shared" ca="1" si="1"/>
        <v>#NAME?</v>
      </c>
      <c r="AQ144" s="4"/>
      <c r="AR144" s="4"/>
    </row>
    <row r="145" spans="1:44" ht="22.5" customHeight="1">
      <c r="A145" s="59"/>
      <c r="B145" s="119"/>
      <c r="C145" s="119">
        <f t="shared" si="0"/>
        <v>27</v>
      </c>
      <c r="D145" s="119"/>
      <c r="E145" s="119"/>
      <c r="F145" s="119"/>
      <c r="G145" s="120"/>
      <c r="H145" s="120"/>
      <c r="I145" s="23"/>
      <c r="J145" s="63"/>
      <c r="K145" s="17"/>
      <c r="L145" s="17"/>
      <c r="M145" s="17"/>
      <c r="N145" s="67"/>
      <c r="O145" s="53"/>
      <c r="P145" s="64"/>
      <c r="Q145" s="65"/>
      <c r="R145" s="65"/>
      <c r="S145" s="66"/>
      <c r="T145" s="66"/>
      <c r="U145" s="66"/>
      <c r="V145" s="66"/>
      <c r="W145" s="65"/>
      <c r="AA145" s="59"/>
      <c r="AB145" s="67"/>
      <c r="AC145" s="23"/>
      <c r="AD145" s="59"/>
      <c r="AE145" s="59"/>
      <c r="AF145" s="59"/>
      <c r="AG145" s="59"/>
      <c r="AM145" s="63"/>
      <c r="AN145" s="63" t="e">
        <f t="shared" ca="1" si="1"/>
        <v>#NAME?</v>
      </c>
      <c r="AQ145" s="4"/>
      <c r="AR145" s="4"/>
    </row>
    <row r="146" spans="1:44" ht="22.5" customHeight="1">
      <c r="A146" s="59"/>
      <c r="B146" s="75"/>
      <c r="C146" s="75">
        <f t="shared" si="0"/>
        <v>27</v>
      </c>
      <c r="D146" s="75"/>
      <c r="E146" s="75"/>
      <c r="F146" s="75"/>
      <c r="G146" s="76"/>
      <c r="H146" s="76"/>
      <c r="I146" s="23"/>
      <c r="J146" s="63"/>
      <c r="K146" s="59"/>
      <c r="L146" s="59"/>
      <c r="M146" s="59"/>
      <c r="N146" s="53"/>
      <c r="O146" s="63"/>
      <c r="P146" s="64"/>
      <c r="Q146" s="65"/>
      <c r="R146" s="65"/>
      <c r="S146" s="66"/>
      <c r="T146" s="66"/>
      <c r="U146" s="66"/>
      <c r="V146" s="66"/>
      <c r="W146" s="66"/>
      <c r="X146" s="23"/>
      <c r="Y146" s="23"/>
      <c r="Z146" s="23"/>
      <c r="AA146" s="59"/>
      <c r="AB146" s="53"/>
      <c r="AC146" s="23"/>
      <c r="AD146" s="59"/>
      <c r="AE146" s="59"/>
      <c r="AF146" s="59"/>
      <c r="AG146" s="59"/>
      <c r="AM146" s="63"/>
      <c r="AN146" s="63" t="e">
        <f t="shared" ca="1" si="1"/>
        <v>#NAME?</v>
      </c>
      <c r="AQ146" s="4"/>
      <c r="AR146" s="4"/>
    </row>
    <row r="147" spans="1:44" ht="22.5" customHeight="1">
      <c r="A147" s="59"/>
      <c r="B147" s="75"/>
      <c r="C147" s="75">
        <f t="shared" si="0"/>
        <v>27</v>
      </c>
      <c r="D147" s="75"/>
      <c r="E147" s="75"/>
      <c r="F147" s="75"/>
      <c r="G147" s="76"/>
      <c r="H147" s="76"/>
      <c r="I147" s="23"/>
      <c r="J147" s="63"/>
      <c r="K147" s="59"/>
      <c r="L147" s="59"/>
      <c r="M147" s="59"/>
      <c r="N147" s="53"/>
      <c r="O147" s="63"/>
      <c r="P147" s="64"/>
      <c r="Q147" s="65"/>
      <c r="R147" s="65"/>
      <c r="S147" s="66"/>
      <c r="T147" s="66"/>
      <c r="U147" s="66"/>
      <c r="V147" s="66"/>
      <c r="W147" s="66"/>
      <c r="X147" s="23"/>
      <c r="Y147" s="23"/>
      <c r="Z147" s="23"/>
      <c r="AA147" s="59"/>
      <c r="AB147" s="53"/>
      <c r="AC147" s="23"/>
      <c r="AD147" s="59"/>
      <c r="AE147" s="59"/>
      <c r="AF147" s="59"/>
      <c r="AG147" s="59"/>
      <c r="AM147" s="63">
        <v>38984</v>
      </c>
      <c r="AN147" s="63" t="e">
        <f t="shared" ca="1" si="1"/>
        <v>#NAME?</v>
      </c>
      <c r="AQ147" s="4"/>
      <c r="AR147" s="4"/>
    </row>
    <row r="148" spans="1:44" ht="22.5" customHeight="1">
      <c r="A148" s="59"/>
      <c r="B148" s="75"/>
      <c r="C148" s="75">
        <f t="shared" si="0"/>
        <v>27</v>
      </c>
      <c r="D148" s="75"/>
      <c r="E148" s="75"/>
      <c r="F148" s="75"/>
      <c r="G148" s="76"/>
      <c r="H148" s="76"/>
      <c r="I148" s="23"/>
      <c r="J148" s="63"/>
      <c r="K148" s="59"/>
      <c r="L148" s="59"/>
      <c r="M148" s="59"/>
      <c r="N148" s="53"/>
      <c r="O148" s="63"/>
      <c r="P148" s="64"/>
      <c r="Q148" s="65"/>
      <c r="R148" s="65"/>
      <c r="S148" s="66"/>
      <c r="T148" s="66"/>
      <c r="U148" s="66"/>
      <c r="V148" s="66"/>
      <c r="W148" s="65"/>
      <c r="X148" s="23"/>
      <c r="Y148" s="23"/>
      <c r="Z148" s="23"/>
      <c r="AA148" s="59"/>
      <c r="AB148" s="53"/>
      <c r="AC148" s="23"/>
      <c r="AD148" s="59"/>
      <c r="AE148" s="59"/>
      <c r="AF148" s="59"/>
      <c r="AG148" s="59"/>
      <c r="AM148" s="63"/>
      <c r="AN148" s="63" t="e">
        <f t="shared" ca="1" si="1"/>
        <v>#NAME?</v>
      </c>
      <c r="AQ148" s="4"/>
      <c r="AR148" s="4"/>
    </row>
    <row r="149" spans="1:44" ht="22.5" customHeight="1">
      <c r="A149" s="59"/>
      <c r="B149" s="75"/>
      <c r="C149" s="75">
        <f t="shared" si="0"/>
        <v>27</v>
      </c>
      <c r="D149" s="75"/>
      <c r="E149" s="75"/>
      <c r="F149" s="75"/>
      <c r="G149" s="76"/>
      <c r="H149" s="76"/>
      <c r="I149" s="23"/>
      <c r="J149" s="63"/>
      <c r="K149" s="59"/>
      <c r="L149" s="59"/>
      <c r="M149" s="59"/>
      <c r="N149" s="53"/>
      <c r="O149" s="63"/>
      <c r="P149" s="64"/>
      <c r="Q149" s="65"/>
      <c r="R149" s="65"/>
      <c r="S149" s="66"/>
      <c r="T149" s="66"/>
      <c r="U149" s="66"/>
      <c r="V149" s="66"/>
      <c r="W149" s="65"/>
      <c r="X149" s="23"/>
      <c r="Y149" s="23"/>
      <c r="Z149" s="23"/>
      <c r="AA149" s="59"/>
      <c r="AB149" s="53"/>
      <c r="AC149" s="23"/>
      <c r="AD149" s="59"/>
      <c r="AE149" s="59"/>
      <c r="AF149" s="59"/>
      <c r="AG149" s="59"/>
      <c r="AM149" s="63"/>
      <c r="AN149" s="63" t="e">
        <f t="shared" ca="1" si="1"/>
        <v>#NAME?</v>
      </c>
      <c r="AQ149" s="4"/>
      <c r="AR149" s="4"/>
    </row>
    <row r="150" spans="1:44" ht="22.5" customHeight="1">
      <c r="A150" s="59"/>
      <c r="B150" s="121"/>
      <c r="C150" s="121">
        <f t="shared" si="0"/>
        <v>27</v>
      </c>
      <c r="D150" s="121"/>
      <c r="E150" s="121"/>
      <c r="F150" s="121"/>
      <c r="G150" s="122"/>
      <c r="H150" s="122"/>
      <c r="I150" s="23"/>
      <c r="J150" s="63"/>
      <c r="K150" s="17"/>
      <c r="L150" s="17"/>
      <c r="M150" s="17"/>
      <c r="N150" s="67"/>
      <c r="O150" s="63"/>
      <c r="P150" s="64"/>
      <c r="Q150" s="65"/>
      <c r="R150" s="84"/>
      <c r="S150" s="66"/>
      <c r="T150" s="66"/>
      <c r="U150" s="66"/>
      <c r="V150" s="66"/>
      <c r="W150" s="65"/>
      <c r="X150" s="23"/>
      <c r="Y150" s="23"/>
      <c r="Z150" s="23"/>
      <c r="AA150" s="59"/>
      <c r="AB150" s="67"/>
      <c r="AC150" s="23"/>
      <c r="AD150" s="59"/>
      <c r="AE150" s="59"/>
      <c r="AF150" s="59"/>
      <c r="AG150" s="59"/>
      <c r="AM150" s="63"/>
      <c r="AN150" s="63" t="e">
        <f t="shared" ca="1" si="1"/>
        <v>#NAME?</v>
      </c>
      <c r="AQ150" s="4"/>
      <c r="AR150" s="4"/>
    </row>
    <row r="151" spans="1:44" ht="22.5" customHeight="1">
      <c r="A151" s="59"/>
      <c r="B151" s="75"/>
      <c r="C151" s="75">
        <f t="shared" si="0"/>
        <v>27</v>
      </c>
      <c r="D151" s="75"/>
      <c r="E151" s="75"/>
      <c r="F151" s="75"/>
      <c r="G151" s="76"/>
      <c r="H151" s="76"/>
      <c r="I151" s="23"/>
      <c r="J151" s="63"/>
      <c r="K151" s="59"/>
      <c r="L151" s="59"/>
      <c r="M151" s="59"/>
      <c r="N151" s="53"/>
      <c r="O151" s="63"/>
      <c r="P151" s="64"/>
      <c r="Q151" s="65"/>
      <c r="R151" s="65"/>
      <c r="S151" s="66"/>
      <c r="T151" s="66"/>
      <c r="U151" s="66"/>
      <c r="V151" s="66"/>
      <c r="W151" s="65"/>
      <c r="X151" s="23"/>
      <c r="Y151" s="23"/>
      <c r="Z151" s="23"/>
      <c r="AA151" s="59"/>
      <c r="AB151" s="53"/>
      <c r="AC151" s="23"/>
      <c r="AD151" s="59"/>
      <c r="AE151" s="59"/>
      <c r="AF151" s="59"/>
      <c r="AG151" s="59"/>
      <c r="AM151" s="63"/>
      <c r="AN151" s="63" t="e">
        <f t="shared" ca="1" si="1"/>
        <v>#NAME?</v>
      </c>
      <c r="AQ151" s="4"/>
      <c r="AR151" s="4"/>
    </row>
    <row r="152" spans="1:44" ht="22.5" customHeight="1">
      <c r="A152" s="59"/>
      <c r="B152" s="75"/>
      <c r="C152" s="75">
        <f t="shared" si="0"/>
        <v>27</v>
      </c>
      <c r="D152" s="75"/>
      <c r="E152" s="75"/>
      <c r="F152" s="75"/>
      <c r="G152" s="76"/>
      <c r="H152" s="76"/>
      <c r="I152" s="23"/>
      <c r="J152" s="63"/>
      <c r="K152" s="59"/>
      <c r="L152" s="59"/>
      <c r="M152" s="59"/>
      <c r="N152" s="53"/>
      <c r="O152" s="63"/>
      <c r="P152" s="64"/>
      <c r="Q152" s="65"/>
      <c r="R152" s="65"/>
      <c r="S152" s="66"/>
      <c r="T152" s="66"/>
      <c r="U152" s="66"/>
      <c r="V152" s="66"/>
      <c r="W152" s="65"/>
      <c r="X152" s="23"/>
      <c r="Y152" s="23"/>
      <c r="Z152" s="23"/>
      <c r="AA152" s="59"/>
      <c r="AB152" s="53"/>
      <c r="AC152" s="23"/>
      <c r="AD152" s="59"/>
      <c r="AE152" s="59"/>
      <c r="AF152" s="59"/>
      <c r="AG152" s="59"/>
      <c r="AM152" s="63">
        <v>61321</v>
      </c>
      <c r="AN152" s="63" t="e">
        <f t="shared" ca="1" si="1"/>
        <v>#NAME?</v>
      </c>
      <c r="AQ152" s="4"/>
      <c r="AR152" s="4"/>
    </row>
    <row r="153" spans="1:44" ht="22.5" customHeight="1">
      <c r="A153" s="59"/>
      <c r="B153" s="75"/>
      <c r="C153" s="75">
        <f t="shared" si="0"/>
        <v>27</v>
      </c>
      <c r="D153" s="75"/>
      <c r="E153" s="75"/>
      <c r="F153" s="75"/>
      <c r="G153" s="76"/>
      <c r="H153" s="76"/>
      <c r="I153" s="23"/>
      <c r="J153" s="63"/>
      <c r="K153" s="59"/>
      <c r="L153" s="59"/>
      <c r="M153" s="59"/>
      <c r="N153" s="53"/>
      <c r="O153" s="63"/>
      <c r="P153" s="64"/>
      <c r="Q153" s="65"/>
      <c r="R153" s="65"/>
      <c r="S153" s="66"/>
      <c r="T153" s="66"/>
      <c r="U153" s="66"/>
      <c r="V153" s="66"/>
      <c r="W153" s="65"/>
      <c r="X153" s="23"/>
      <c r="Y153" s="23"/>
      <c r="Z153" s="23"/>
      <c r="AA153" s="59"/>
      <c r="AB153" s="53"/>
      <c r="AC153" s="23"/>
      <c r="AD153" s="59"/>
      <c r="AE153" s="59"/>
      <c r="AF153" s="59"/>
      <c r="AG153" s="59"/>
      <c r="AM153" s="63"/>
      <c r="AN153" s="63" t="e">
        <f t="shared" ca="1" si="1"/>
        <v>#NAME?</v>
      </c>
      <c r="AQ153" s="4"/>
      <c r="AR153" s="4"/>
    </row>
    <row r="154" spans="1:44" ht="22.5" customHeight="1">
      <c r="A154" s="59"/>
      <c r="B154" s="75"/>
      <c r="C154" s="75">
        <f t="shared" si="0"/>
        <v>27</v>
      </c>
      <c r="D154" s="75"/>
      <c r="E154" s="75"/>
      <c r="F154" s="75"/>
      <c r="G154" s="76"/>
      <c r="H154" s="76"/>
      <c r="I154" s="23"/>
      <c r="J154" s="63"/>
      <c r="K154" s="59"/>
      <c r="L154" s="59"/>
      <c r="M154" s="59"/>
      <c r="N154" s="53"/>
      <c r="O154" s="63"/>
      <c r="P154" s="64"/>
      <c r="Q154" s="65"/>
      <c r="R154" s="65"/>
      <c r="S154" s="66"/>
      <c r="T154" s="66"/>
      <c r="U154" s="66"/>
      <c r="V154" s="66"/>
      <c r="W154" s="65"/>
      <c r="X154" s="23"/>
      <c r="Y154" s="23"/>
      <c r="Z154" s="23"/>
      <c r="AA154" s="59"/>
      <c r="AB154" s="53"/>
      <c r="AC154" s="23"/>
      <c r="AD154" s="59"/>
      <c r="AE154" s="59"/>
      <c r="AF154" s="59"/>
      <c r="AG154" s="59"/>
      <c r="AM154" s="63"/>
      <c r="AN154" s="63" t="e">
        <f t="shared" ca="1" si="1"/>
        <v>#NAME?</v>
      </c>
      <c r="AQ154" s="4"/>
      <c r="AR154" s="4"/>
    </row>
    <row r="155" spans="1:44" ht="22.5" customHeight="1">
      <c r="A155" s="59"/>
      <c r="B155" s="75"/>
      <c r="C155" s="75">
        <f t="shared" si="0"/>
        <v>27</v>
      </c>
      <c r="D155" s="75"/>
      <c r="E155" s="75"/>
      <c r="F155" s="75"/>
      <c r="G155" s="76"/>
      <c r="H155" s="76"/>
      <c r="I155" s="23"/>
      <c r="J155" s="63"/>
      <c r="K155" s="59"/>
      <c r="L155" s="59"/>
      <c r="M155" s="59"/>
      <c r="N155" s="53"/>
      <c r="O155" s="63"/>
      <c r="P155" s="64"/>
      <c r="Q155" s="65"/>
      <c r="R155" s="65"/>
      <c r="S155" s="66"/>
      <c r="T155" s="66"/>
      <c r="U155" s="66"/>
      <c r="V155" s="66"/>
      <c r="W155" s="65"/>
      <c r="X155" s="23"/>
      <c r="Y155" s="23"/>
      <c r="Z155" s="23"/>
      <c r="AA155" s="59"/>
      <c r="AB155" s="53"/>
      <c r="AC155" s="23"/>
      <c r="AD155" s="59"/>
      <c r="AE155" s="59"/>
      <c r="AF155" s="59"/>
      <c r="AG155" s="59"/>
      <c r="AM155" s="63"/>
      <c r="AN155" s="63" t="e">
        <f t="shared" ca="1" si="1"/>
        <v>#NAME?</v>
      </c>
      <c r="AQ155" s="4"/>
      <c r="AR155" s="4"/>
    </row>
    <row r="156" spans="1:44" ht="22.5" customHeight="1">
      <c r="A156" s="59"/>
      <c r="B156" s="75"/>
      <c r="C156" s="75">
        <f t="shared" si="0"/>
        <v>27</v>
      </c>
      <c r="D156" s="75"/>
      <c r="E156" s="75"/>
      <c r="F156" s="75"/>
      <c r="G156" s="76"/>
      <c r="H156" s="76"/>
      <c r="I156" s="23"/>
      <c r="J156" s="63"/>
      <c r="K156" s="59"/>
      <c r="L156" s="59"/>
      <c r="M156" s="59"/>
      <c r="N156" s="53"/>
      <c r="O156" s="63"/>
      <c r="P156" s="64"/>
      <c r="Q156" s="65"/>
      <c r="R156" s="65"/>
      <c r="S156" s="66"/>
      <c r="T156" s="66"/>
      <c r="U156" s="66"/>
      <c r="V156" s="66"/>
      <c r="W156" s="65"/>
      <c r="X156" s="23"/>
      <c r="Y156" s="23"/>
      <c r="Z156" s="23"/>
      <c r="AA156" s="59"/>
      <c r="AB156" s="53"/>
      <c r="AC156" s="23"/>
      <c r="AD156" s="59"/>
      <c r="AE156" s="59"/>
      <c r="AF156" s="59"/>
      <c r="AG156" s="59"/>
      <c r="AM156" s="63"/>
      <c r="AN156" s="63" t="e">
        <f t="shared" ca="1" si="1"/>
        <v>#NAME?</v>
      </c>
      <c r="AQ156" s="4"/>
      <c r="AR156" s="4"/>
    </row>
    <row r="157" spans="1:44" ht="22.5" customHeight="1">
      <c r="A157" s="59"/>
      <c r="B157" s="75"/>
      <c r="C157" s="75">
        <f t="shared" si="0"/>
        <v>27</v>
      </c>
      <c r="D157" s="75"/>
      <c r="E157" s="75"/>
      <c r="F157" s="75"/>
      <c r="G157" s="76"/>
      <c r="H157" s="76"/>
      <c r="I157" s="23"/>
      <c r="J157" s="63"/>
      <c r="K157" s="59"/>
      <c r="L157" s="59"/>
      <c r="M157" s="59"/>
      <c r="N157" s="53"/>
      <c r="O157" s="63"/>
      <c r="P157" s="64"/>
      <c r="Q157" s="65"/>
      <c r="R157" s="65"/>
      <c r="S157" s="66"/>
      <c r="T157" s="66"/>
      <c r="U157" s="66"/>
      <c r="V157" s="66"/>
      <c r="W157" s="65"/>
      <c r="X157" s="23"/>
      <c r="Y157" s="23"/>
      <c r="Z157" s="23"/>
      <c r="AA157" s="59"/>
      <c r="AB157" s="53"/>
      <c r="AC157" s="23"/>
      <c r="AD157" s="59"/>
      <c r="AE157" s="59"/>
      <c r="AF157" s="59"/>
      <c r="AG157" s="59"/>
      <c r="AM157" s="63"/>
      <c r="AN157" s="63" t="e">
        <f t="shared" ca="1" si="1"/>
        <v>#NAME?</v>
      </c>
      <c r="AQ157" s="4"/>
      <c r="AR157" s="4"/>
    </row>
    <row r="158" spans="1:44" ht="22.5" customHeight="1">
      <c r="C158" s="59">
        <f t="shared" si="0"/>
        <v>27</v>
      </c>
      <c r="I158" s="123"/>
      <c r="J158" s="124"/>
      <c r="K158" s="125"/>
      <c r="L158" s="125"/>
      <c r="M158" s="124"/>
      <c r="N158" s="124"/>
      <c r="O158" s="124"/>
      <c r="P158" s="77"/>
      <c r="Q158" s="126"/>
      <c r="R158" s="126"/>
      <c r="S158" s="66"/>
      <c r="T158" s="66"/>
      <c r="U158" s="66"/>
      <c r="V158" s="66"/>
      <c r="W158" s="65"/>
      <c r="X158" s="23"/>
      <c r="Y158" s="23"/>
      <c r="Z158" s="23"/>
      <c r="AA158" s="59"/>
      <c r="AB158" s="53"/>
      <c r="AC158" s="127"/>
      <c r="AD158" s="59"/>
      <c r="AE158" s="59"/>
      <c r="AF158" s="59"/>
      <c r="AG158" s="59"/>
      <c r="AM158" s="63" t="s">
        <v>338</v>
      </c>
      <c r="AN158" s="63" t="e">
        <f t="shared" ca="1" si="1"/>
        <v>#NAME?</v>
      </c>
      <c r="AQ158" s="4"/>
      <c r="AR158" s="4"/>
    </row>
    <row r="159" spans="1:44" ht="22.5" customHeight="1">
      <c r="A159" s="59"/>
      <c r="B159" s="75"/>
      <c r="C159" s="75">
        <f t="shared" si="0"/>
        <v>27</v>
      </c>
      <c r="D159" s="75"/>
      <c r="E159" s="75"/>
      <c r="F159" s="75"/>
      <c r="G159" s="76"/>
      <c r="H159" s="76"/>
      <c r="I159" s="23"/>
      <c r="J159" s="63"/>
      <c r="K159" s="59"/>
      <c r="L159" s="59"/>
      <c r="M159" s="59"/>
      <c r="N159" s="53"/>
      <c r="O159" s="63"/>
      <c r="P159" s="64"/>
      <c r="Q159" s="65"/>
      <c r="R159" s="65"/>
      <c r="S159" s="66"/>
      <c r="T159" s="66"/>
      <c r="U159" s="66"/>
      <c r="V159" s="66"/>
      <c r="W159" s="65"/>
      <c r="X159" s="23"/>
      <c r="Y159" s="23"/>
      <c r="Z159" s="23"/>
      <c r="AA159" s="59"/>
      <c r="AB159" s="53"/>
      <c r="AC159" s="23"/>
      <c r="AD159" s="59"/>
      <c r="AE159" s="59"/>
      <c r="AF159" s="59"/>
      <c r="AG159" s="59"/>
      <c r="AM159" s="63"/>
      <c r="AN159" s="63" t="e">
        <f t="shared" ca="1" si="1"/>
        <v>#NAME?</v>
      </c>
      <c r="AQ159" s="4"/>
      <c r="AR159" s="4"/>
    </row>
    <row r="160" spans="1:44" ht="22.5" customHeight="1">
      <c r="A160" s="59"/>
      <c r="B160" s="75"/>
      <c r="C160" s="75">
        <f t="shared" si="0"/>
        <v>27</v>
      </c>
      <c r="D160" s="75"/>
      <c r="E160" s="75"/>
      <c r="F160" s="75"/>
      <c r="G160" s="76"/>
      <c r="H160" s="76"/>
      <c r="I160" s="23"/>
      <c r="J160" s="63"/>
      <c r="K160" s="59"/>
      <c r="L160" s="59"/>
      <c r="M160" s="59"/>
      <c r="N160" s="53"/>
      <c r="O160" s="63"/>
      <c r="P160" s="64"/>
      <c r="Q160" s="65"/>
      <c r="R160" s="65"/>
      <c r="S160" s="66"/>
      <c r="T160" s="66"/>
      <c r="U160" s="66"/>
      <c r="V160" s="66"/>
      <c r="W160" s="65"/>
      <c r="X160" s="23"/>
      <c r="Y160" s="23"/>
      <c r="Z160" s="23"/>
      <c r="AA160" s="59"/>
      <c r="AB160" s="53"/>
      <c r="AC160" s="23"/>
      <c r="AD160" s="59"/>
      <c r="AE160" s="59"/>
      <c r="AF160" s="59"/>
      <c r="AG160" s="59"/>
      <c r="AM160" s="124" t="s">
        <v>340</v>
      </c>
      <c r="AN160" s="124" t="e">
        <f t="shared" ca="1" si="1"/>
        <v>#NAME?</v>
      </c>
      <c r="AQ160" s="4"/>
      <c r="AR160" s="4"/>
    </row>
    <row r="161" spans="1:44" ht="22.5" customHeight="1">
      <c r="A161" s="59"/>
      <c r="B161" s="75"/>
      <c r="C161" s="75">
        <f t="shared" si="0"/>
        <v>27</v>
      </c>
      <c r="D161" s="75"/>
      <c r="E161" s="75"/>
      <c r="F161" s="75"/>
      <c r="G161" s="76"/>
      <c r="H161" s="76"/>
      <c r="I161" s="23"/>
      <c r="J161" s="63"/>
      <c r="K161" s="59"/>
      <c r="L161" s="59"/>
      <c r="M161" s="59"/>
      <c r="N161" s="53"/>
      <c r="O161" s="63"/>
      <c r="P161" s="64"/>
      <c r="Q161" s="65"/>
      <c r="R161" s="65"/>
      <c r="S161" s="66"/>
      <c r="T161" s="66"/>
      <c r="U161" s="66"/>
      <c r="V161" s="66"/>
      <c r="W161" s="65"/>
      <c r="X161" s="23"/>
      <c r="Y161" s="23"/>
      <c r="Z161" s="23"/>
      <c r="AA161" s="59"/>
      <c r="AB161" s="53"/>
      <c r="AC161" s="23"/>
      <c r="AD161" s="59"/>
      <c r="AE161" s="59"/>
      <c r="AF161" s="59"/>
      <c r="AG161" s="59"/>
      <c r="AM161" s="63"/>
      <c r="AN161" s="63" t="e">
        <f t="shared" ca="1" si="1"/>
        <v>#NAME?</v>
      </c>
      <c r="AQ161" s="4"/>
      <c r="AR161" s="4"/>
    </row>
    <row r="162" spans="1:44" ht="22.5" customHeight="1">
      <c r="A162" s="59"/>
      <c r="B162" s="63"/>
      <c r="C162" s="63">
        <f t="shared" si="0"/>
        <v>27</v>
      </c>
      <c r="D162" s="63"/>
      <c r="E162" s="63"/>
      <c r="F162" s="63"/>
      <c r="G162" s="63"/>
      <c r="H162" s="63"/>
      <c r="I162" s="86"/>
      <c r="J162" s="63"/>
      <c r="N162" s="53"/>
      <c r="O162" s="63"/>
      <c r="P162" s="77"/>
      <c r="Q162" s="65"/>
      <c r="R162" s="65"/>
      <c r="S162" s="66"/>
      <c r="T162" s="66"/>
      <c r="U162" s="66"/>
      <c r="V162" s="66"/>
      <c r="W162" s="65"/>
      <c r="X162" s="23"/>
      <c r="Y162" s="23"/>
      <c r="Z162" s="23"/>
      <c r="AA162" s="59"/>
      <c r="AB162" s="53"/>
      <c r="AD162" s="59"/>
      <c r="AE162" s="59"/>
      <c r="AF162" s="59"/>
      <c r="AG162" s="59"/>
      <c r="AM162" s="63"/>
      <c r="AN162" s="63" t="e">
        <f t="shared" ca="1" si="1"/>
        <v>#NAME?</v>
      </c>
      <c r="AQ162" s="4"/>
      <c r="AR162" s="4"/>
    </row>
    <row r="163" spans="1:44" ht="22.5" customHeight="1">
      <c r="A163" s="59"/>
      <c r="B163" s="63"/>
      <c r="C163" s="63">
        <f t="shared" si="0"/>
        <v>27</v>
      </c>
      <c r="D163" s="63"/>
      <c r="E163" s="63"/>
      <c r="F163" s="63"/>
      <c r="G163" s="63"/>
      <c r="H163" s="63"/>
      <c r="I163" s="86"/>
      <c r="J163" s="63"/>
      <c r="N163" s="53"/>
      <c r="O163" s="63"/>
      <c r="P163" s="77"/>
      <c r="Q163" s="65"/>
      <c r="R163" s="65"/>
      <c r="S163" s="66"/>
      <c r="T163" s="66"/>
      <c r="U163" s="66"/>
      <c r="V163" s="66"/>
      <c r="W163" s="65"/>
      <c r="X163" s="23"/>
      <c r="Y163" s="23"/>
      <c r="Z163" s="23"/>
      <c r="AA163" s="59"/>
      <c r="AB163" s="53"/>
      <c r="AD163" s="59"/>
      <c r="AE163" s="59"/>
      <c r="AF163" s="59"/>
      <c r="AG163" s="59"/>
      <c r="AM163" s="63"/>
      <c r="AN163" s="63" t="e">
        <f t="shared" ca="1" si="1"/>
        <v>#NAME?</v>
      </c>
      <c r="AQ163" s="4"/>
      <c r="AR163" s="4"/>
    </row>
    <row r="164" spans="1:44" ht="22.5" customHeight="1">
      <c r="A164" s="59"/>
      <c r="B164" s="75"/>
      <c r="C164" s="75">
        <f t="shared" si="0"/>
        <v>27</v>
      </c>
      <c r="D164" s="75"/>
      <c r="E164" s="75"/>
      <c r="F164" s="75"/>
      <c r="G164" s="76"/>
      <c r="H164" s="76"/>
      <c r="I164" s="23"/>
      <c r="J164" s="63"/>
      <c r="K164" s="59"/>
      <c r="L164" s="59"/>
      <c r="M164" s="59"/>
      <c r="N164" s="53"/>
      <c r="O164" s="63"/>
      <c r="P164" s="64"/>
      <c r="Q164" s="65"/>
      <c r="R164" s="65"/>
      <c r="S164" s="66"/>
      <c r="T164" s="66"/>
      <c r="U164" s="66"/>
      <c r="V164" s="66"/>
      <c r="W164" s="65"/>
      <c r="X164" s="23"/>
      <c r="Y164" s="23"/>
      <c r="Z164" s="23"/>
      <c r="AA164" s="59"/>
      <c r="AB164" s="53"/>
      <c r="AC164" s="23"/>
      <c r="AD164" s="59"/>
      <c r="AE164" s="59"/>
      <c r="AF164" s="59"/>
      <c r="AG164" s="59"/>
      <c r="AM164" s="63" t="s">
        <v>331</v>
      </c>
      <c r="AN164" s="63" t="e">
        <f t="shared" ca="1" si="1"/>
        <v>#NAME?</v>
      </c>
      <c r="AQ164" s="4"/>
      <c r="AR164" s="4"/>
    </row>
    <row r="165" spans="1:44" ht="22.5" customHeight="1">
      <c r="A165" s="59"/>
      <c r="B165" s="68"/>
      <c r="C165" s="68">
        <f t="shared" si="0"/>
        <v>27</v>
      </c>
      <c r="D165" s="68"/>
      <c r="E165" s="68"/>
      <c r="F165" s="68"/>
      <c r="G165" s="69"/>
      <c r="H165" s="69"/>
      <c r="I165" s="23"/>
      <c r="J165" s="63"/>
      <c r="K165" s="59"/>
      <c r="L165" s="59"/>
      <c r="M165" s="59"/>
      <c r="N165" s="53"/>
      <c r="O165" s="63"/>
      <c r="P165" s="64"/>
      <c r="Q165" s="65"/>
      <c r="R165" s="65"/>
      <c r="S165" s="66"/>
      <c r="T165" s="66"/>
      <c r="U165" s="66"/>
      <c r="V165" s="66"/>
      <c r="W165" s="65"/>
      <c r="X165" s="23"/>
      <c r="Y165" s="23"/>
      <c r="Z165" s="23"/>
      <c r="AA165" s="59"/>
      <c r="AB165" s="53"/>
      <c r="AC165" s="23"/>
      <c r="AD165" s="59"/>
      <c r="AE165" s="59"/>
      <c r="AF165" s="59"/>
      <c r="AG165" s="59"/>
      <c r="AM165" s="63">
        <v>19026</v>
      </c>
      <c r="AN165" s="63" t="e">
        <f t="shared" ca="1" si="1"/>
        <v>#NAME?</v>
      </c>
      <c r="AQ165" s="4"/>
      <c r="AR165" s="4"/>
    </row>
    <row r="166" spans="1:44" ht="22.5" customHeight="1">
      <c r="A166" s="59"/>
      <c r="B166" s="68"/>
      <c r="C166" s="68">
        <f t="shared" si="0"/>
        <v>27</v>
      </c>
      <c r="D166" s="68"/>
      <c r="E166" s="68"/>
      <c r="F166" s="68"/>
      <c r="G166" s="69"/>
      <c r="H166" s="69"/>
      <c r="I166" s="23"/>
      <c r="J166" s="63"/>
      <c r="K166" s="59"/>
      <c r="L166" s="59"/>
      <c r="M166" s="59"/>
      <c r="N166" s="53"/>
      <c r="O166" s="63"/>
      <c r="P166" s="64"/>
      <c r="Q166" s="65"/>
      <c r="R166" s="65"/>
      <c r="S166" s="66"/>
      <c r="T166" s="66"/>
      <c r="U166" s="66"/>
      <c r="V166" s="66"/>
      <c r="W166" s="65"/>
      <c r="X166" s="23"/>
      <c r="Y166" s="23"/>
      <c r="Z166" s="23"/>
      <c r="AA166" s="59"/>
      <c r="AB166" s="53"/>
      <c r="AC166" s="23"/>
      <c r="AD166" s="59"/>
      <c r="AE166" s="59"/>
      <c r="AF166" s="59"/>
      <c r="AG166" s="59"/>
      <c r="AM166" s="63"/>
      <c r="AN166" s="63" t="e">
        <f t="shared" ca="1" si="1"/>
        <v>#NAME?</v>
      </c>
      <c r="AQ166" s="4"/>
      <c r="AR166" s="4"/>
    </row>
    <row r="167" spans="1:44" ht="22.5" customHeight="1">
      <c r="A167" s="59"/>
      <c r="B167" s="63"/>
      <c r="C167" s="63">
        <f t="shared" si="0"/>
        <v>27</v>
      </c>
      <c r="D167" s="63"/>
      <c r="E167" s="63"/>
      <c r="F167" s="63"/>
      <c r="G167" s="63"/>
      <c r="H167" s="63"/>
      <c r="I167" s="86"/>
      <c r="J167" s="63"/>
      <c r="N167" s="53"/>
      <c r="O167" s="63"/>
      <c r="P167" s="77"/>
      <c r="Q167" s="65"/>
      <c r="R167" s="65"/>
      <c r="S167" s="66"/>
      <c r="T167" s="66"/>
      <c r="U167" s="66"/>
      <c r="V167" s="66"/>
      <c r="W167" s="65"/>
      <c r="X167" s="23"/>
      <c r="Y167" s="23"/>
      <c r="Z167" s="23"/>
      <c r="AA167" s="59"/>
      <c r="AB167" s="53"/>
      <c r="AD167" s="59"/>
      <c r="AE167" s="59"/>
      <c r="AF167" s="59"/>
      <c r="AG167" s="59"/>
      <c r="AM167" s="63"/>
      <c r="AN167" s="63" t="e">
        <f t="shared" ca="1" si="1"/>
        <v>#NAME?</v>
      </c>
      <c r="AQ167" s="4"/>
      <c r="AR167" s="4"/>
    </row>
    <row r="168" spans="1:44" ht="22.5" customHeight="1">
      <c r="A168" s="59"/>
      <c r="B168" s="68"/>
      <c r="C168" s="68">
        <f t="shared" si="0"/>
        <v>27</v>
      </c>
      <c r="D168" s="68"/>
      <c r="E168" s="68"/>
      <c r="F168" s="68"/>
      <c r="G168" s="69"/>
      <c r="H168" s="69"/>
      <c r="I168" s="23"/>
      <c r="J168" s="63"/>
      <c r="K168" s="59"/>
      <c r="L168" s="59"/>
      <c r="M168" s="59"/>
      <c r="N168" s="53"/>
      <c r="O168" s="63"/>
      <c r="P168" s="64"/>
      <c r="Q168" s="65"/>
      <c r="R168" s="65"/>
      <c r="S168" s="66"/>
      <c r="T168" s="66"/>
      <c r="U168" s="66"/>
      <c r="V168" s="66"/>
      <c r="W168" s="65"/>
      <c r="X168" s="23"/>
      <c r="Y168" s="23"/>
      <c r="Z168" s="23"/>
      <c r="AA168" s="59"/>
      <c r="AB168" s="53"/>
      <c r="AC168" s="23"/>
      <c r="AD168" s="59"/>
      <c r="AE168" s="59"/>
      <c r="AF168" s="59"/>
      <c r="AG168" s="59"/>
      <c r="AM168" s="63">
        <v>92365</v>
      </c>
      <c r="AN168" s="63" t="e">
        <f t="shared" ca="1" si="1"/>
        <v>#NAME?</v>
      </c>
      <c r="AQ168" s="4"/>
      <c r="AR168" s="4"/>
    </row>
    <row r="169" spans="1:44" ht="22.5" customHeight="1">
      <c r="A169" s="59"/>
      <c r="B169" s="68"/>
      <c r="C169" s="68">
        <f t="shared" si="0"/>
        <v>27</v>
      </c>
      <c r="D169" s="68"/>
      <c r="E169" s="68"/>
      <c r="F169" s="68"/>
      <c r="G169" s="69"/>
      <c r="H169" s="69"/>
      <c r="I169" s="23"/>
      <c r="J169" s="63"/>
      <c r="K169" s="59"/>
      <c r="L169" s="59"/>
      <c r="M169" s="59"/>
      <c r="N169" s="53"/>
      <c r="O169" s="63"/>
      <c r="P169" s="64"/>
      <c r="Q169" s="65"/>
      <c r="R169" s="65"/>
      <c r="S169" s="66"/>
      <c r="T169" s="66"/>
      <c r="U169" s="66"/>
      <c r="V169" s="66"/>
      <c r="W169" s="65"/>
      <c r="X169" s="23"/>
      <c r="Y169" s="23"/>
      <c r="Z169" s="23"/>
      <c r="AA169" s="59"/>
      <c r="AB169" s="53"/>
      <c r="AC169" s="23"/>
      <c r="AD169" s="59"/>
      <c r="AE169" s="59"/>
      <c r="AF169" s="59"/>
      <c r="AG169" s="59"/>
      <c r="AM169" s="63">
        <v>4691</v>
      </c>
      <c r="AN169" s="63" t="e">
        <f t="shared" ca="1" si="1"/>
        <v>#NAME?</v>
      </c>
      <c r="AQ169" s="4"/>
      <c r="AR169" s="4"/>
    </row>
    <row r="170" spans="1:44" ht="22.5" customHeight="1">
      <c r="A170" s="59"/>
      <c r="B170" s="68"/>
      <c r="C170" s="68">
        <f t="shared" si="0"/>
        <v>27</v>
      </c>
      <c r="D170" s="68"/>
      <c r="E170" s="68"/>
      <c r="F170" s="68"/>
      <c r="G170" s="69"/>
      <c r="H170" s="69"/>
      <c r="I170" s="23"/>
      <c r="J170" s="63"/>
      <c r="K170" s="59"/>
      <c r="L170" s="59"/>
      <c r="M170" s="59"/>
      <c r="N170" s="53"/>
      <c r="O170" s="63"/>
      <c r="P170" s="64"/>
      <c r="Q170" s="65"/>
      <c r="R170" s="65"/>
      <c r="S170" s="66"/>
      <c r="T170" s="66"/>
      <c r="U170" s="66"/>
      <c r="V170" s="66"/>
      <c r="W170" s="65"/>
      <c r="X170" s="23"/>
      <c r="Y170" s="23"/>
      <c r="Z170" s="23"/>
      <c r="AA170" s="59"/>
      <c r="AB170" s="53"/>
      <c r="AC170" s="23"/>
      <c r="AD170" s="59"/>
      <c r="AE170" s="59"/>
      <c r="AF170" s="59"/>
      <c r="AG170" s="59"/>
      <c r="AM170" s="63"/>
      <c r="AN170" s="63" t="e">
        <f t="shared" ca="1" si="1"/>
        <v>#NAME?</v>
      </c>
      <c r="AQ170" s="4"/>
      <c r="AR170" s="4"/>
    </row>
    <row r="171" spans="1:44" ht="22.5" customHeight="1">
      <c r="A171" s="59"/>
      <c r="B171" s="63"/>
      <c r="C171" s="63">
        <f t="shared" si="0"/>
        <v>27</v>
      </c>
      <c r="D171" s="63"/>
      <c r="E171" s="63"/>
      <c r="F171" s="63"/>
      <c r="G171" s="63"/>
      <c r="H171" s="63"/>
      <c r="I171" s="86"/>
      <c r="J171" s="63"/>
      <c r="N171" s="53"/>
      <c r="O171" s="63"/>
      <c r="P171" s="77"/>
      <c r="Q171" s="65"/>
      <c r="R171" s="65"/>
      <c r="S171" s="66"/>
      <c r="T171" s="66"/>
      <c r="U171" s="66"/>
      <c r="V171" s="66"/>
      <c r="W171" s="65"/>
      <c r="X171" s="23"/>
      <c r="Y171" s="23"/>
      <c r="Z171" s="23"/>
      <c r="AA171" s="59"/>
      <c r="AB171" s="53"/>
      <c r="AD171" s="59"/>
      <c r="AE171" s="59"/>
      <c r="AF171" s="59"/>
      <c r="AG171" s="59"/>
      <c r="AM171" s="63"/>
      <c r="AN171" s="63" t="e">
        <f t="shared" ca="1" si="1"/>
        <v>#NAME?</v>
      </c>
      <c r="AQ171" s="4"/>
      <c r="AR171" s="4"/>
    </row>
    <row r="172" spans="1:44" ht="22.5" customHeight="1">
      <c r="A172" s="59"/>
      <c r="B172" s="119"/>
      <c r="C172" s="119">
        <f t="shared" si="0"/>
        <v>27</v>
      </c>
      <c r="D172" s="119"/>
      <c r="E172" s="119"/>
      <c r="F172" s="119"/>
      <c r="G172" s="120"/>
      <c r="H172" s="120"/>
      <c r="I172" s="23"/>
      <c r="J172" s="63"/>
      <c r="K172" s="59"/>
      <c r="L172" s="59"/>
      <c r="M172" s="59"/>
      <c r="N172" s="53"/>
      <c r="O172" s="63"/>
      <c r="P172" s="64"/>
      <c r="Q172" s="65"/>
      <c r="R172" s="65"/>
      <c r="S172" s="66"/>
      <c r="T172" s="66"/>
      <c r="U172" s="66"/>
      <c r="V172" s="66"/>
      <c r="W172" s="65"/>
      <c r="X172" s="23"/>
      <c r="Y172" s="23"/>
      <c r="Z172" s="23"/>
      <c r="AA172" s="59"/>
      <c r="AB172" s="53"/>
      <c r="AC172" s="23"/>
      <c r="AD172" s="59"/>
      <c r="AE172" s="59"/>
      <c r="AF172" s="59"/>
      <c r="AG172" s="59"/>
      <c r="AM172" s="63"/>
      <c r="AN172" s="63" t="e">
        <f t="shared" ca="1" si="1"/>
        <v>#NAME?</v>
      </c>
      <c r="AQ172" s="4"/>
      <c r="AR172" s="4"/>
    </row>
    <row r="173" spans="1:44" ht="22.5" customHeight="1">
      <c r="C173" s="59">
        <f t="shared" si="0"/>
        <v>27</v>
      </c>
      <c r="I173" s="23"/>
      <c r="J173" s="124"/>
      <c r="K173" s="125"/>
      <c r="N173" s="53"/>
      <c r="O173" s="63"/>
      <c r="P173" s="77"/>
      <c r="Q173" s="126"/>
      <c r="R173" s="126"/>
      <c r="S173" s="66"/>
      <c r="T173" s="66"/>
      <c r="U173" s="66"/>
      <c r="V173" s="66"/>
      <c r="W173" s="65"/>
      <c r="X173" s="23"/>
      <c r="Y173" s="23"/>
      <c r="Z173" s="23"/>
      <c r="AA173" s="59"/>
      <c r="AB173" s="53"/>
      <c r="AC173" s="127"/>
      <c r="AD173" s="59"/>
      <c r="AE173" s="59"/>
      <c r="AF173" s="59"/>
      <c r="AG173" s="59"/>
      <c r="AM173" s="63">
        <v>7005</v>
      </c>
      <c r="AN173" s="63" t="e">
        <f t="shared" ca="1" si="1"/>
        <v>#NAME?</v>
      </c>
      <c r="AQ173" s="4"/>
      <c r="AR173" s="4"/>
    </row>
    <row r="174" spans="1:44" ht="22.5" customHeight="1">
      <c r="A174" s="59"/>
      <c r="C174" s="59">
        <f t="shared" si="0"/>
        <v>27</v>
      </c>
      <c r="G174" s="85"/>
      <c r="H174" s="115"/>
      <c r="I174" s="23"/>
      <c r="J174" s="53"/>
      <c r="L174" s="23"/>
      <c r="N174" s="67"/>
      <c r="O174" s="53"/>
      <c r="P174" s="64"/>
      <c r="Q174" s="65"/>
      <c r="R174" s="65"/>
      <c r="S174" s="66"/>
      <c r="T174" s="66"/>
      <c r="U174" s="66"/>
      <c r="V174" s="66"/>
      <c r="W174" s="65"/>
      <c r="AB174" s="63"/>
      <c r="AM174" s="63"/>
      <c r="AN174" s="63" t="e">
        <f t="shared" ca="1" si="1"/>
        <v>#NAME?</v>
      </c>
      <c r="AQ174" s="4"/>
      <c r="AR174" s="4"/>
    </row>
    <row r="175" spans="1:44" ht="22.5" customHeight="1">
      <c r="A175" s="59"/>
      <c r="B175" s="121"/>
      <c r="C175" s="121">
        <f t="shared" si="0"/>
        <v>27</v>
      </c>
      <c r="D175" s="121"/>
      <c r="E175" s="121"/>
      <c r="F175" s="121"/>
      <c r="G175" s="122"/>
      <c r="H175" s="122"/>
      <c r="I175" s="23"/>
      <c r="J175" s="63"/>
      <c r="K175" s="59"/>
      <c r="L175" s="59"/>
      <c r="M175" s="59"/>
      <c r="N175" s="53"/>
      <c r="O175" s="63"/>
      <c r="P175" s="64"/>
      <c r="Q175" s="65"/>
      <c r="R175" s="65"/>
      <c r="S175" s="66"/>
      <c r="T175" s="66"/>
      <c r="U175" s="66"/>
      <c r="V175" s="66"/>
      <c r="W175" s="65"/>
      <c r="X175" s="23"/>
      <c r="Y175" s="23"/>
      <c r="Z175" s="23"/>
      <c r="AA175" s="59"/>
      <c r="AB175" s="53"/>
      <c r="AC175" s="23"/>
      <c r="AD175" s="59"/>
      <c r="AE175" s="59"/>
      <c r="AF175" s="59"/>
      <c r="AG175" s="59"/>
      <c r="AM175" s="124">
        <v>55345</v>
      </c>
      <c r="AN175" s="124" t="e">
        <f t="shared" ca="1" si="1"/>
        <v>#NAME?</v>
      </c>
      <c r="AQ175" s="4"/>
      <c r="AR175" s="4"/>
    </row>
    <row r="176" spans="1:44" ht="22.5" customHeight="1">
      <c r="A176" s="59"/>
      <c r="B176" s="121"/>
      <c r="C176" s="121">
        <f t="shared" si="0"/>
        <v>27</v>
      </c>
      <c r="D176" s="121"/>
      <c r="E176" s="121"/>
      <c r="F176" s="121"/>
      <c r="G176" s="122"/>
      <c r="H176" s="122"/>
      <c r="I176" s="23"/>
      <c r="J176" s="63"/>
      <c r="K176" s="59"/>
      <c r="L176" s="59"/>
      <c r="M176" s="59"/>
      <c r="N176" s="53"/>
      <c r="O176" s="63"/>
      <c r="P176" s="64"/>
      <c r="Q176" s="65"/>
      <c r="R176" s="65"/>
      <c r="S176" s="66"/>
      <c r="T176" s="66"/>
      <c r="U176" s="66"/>
      <c r="V176" s="66"/>
      <c r="W176" s="65"/>
      <c r="X176" s="23"/>
      <c r="Y176" s="23"/>
      <c r="Z176" s="23"/>
      <c r="AA176" s="59"/>
      <c r="AB176" s="53"/>
      <c r="AC176" s="23"/>
      <c r="AD176" s="59"/>
      <c r="AE176" s="59"/>
      <c r="AF176" s="59"/>
      <c r="AG176" s="59"/>
      <c r="AM176" s="63"/>
      <c r="AN176" s="63" t="e">
        <f t="shared" ca="1" si="1"/>
        <v>#NAME?</v>
      </c>
      <c r="AQ176" s="4"/>
      <c r="AR176" s="4"/>
    </row>
    <row r="177" spans="1:44" ht="22.5" customHeight="1">
      <c r="A177" s="59"/>
      <c r="B177" s="121"/>
      <c r="C177" s="121">
        <f t="shared" si="0"/>
        <v>27</v>
      </c>
      <c r="D177" s="121"/>
      <c r="E177" s="121"/>
      <c r="F177" s="121"/>
      <c r="G177" s="122"/>
      <c r="H177" s="122"/>
      <c r="I177" s="23"/>
      <c r="J177" s="63"/>
      <c r="K177" s="59"/>
      <c r="L177" s="59"/>
      <c r="M177" s="59"/>
      <c r="N177" s="53"/>
      <c r="O177" s="63"/>
      <c r="P177" s="64"/>
      <c r="Q177" s="65"/>
      <c r="R177" s="65"/>
      <c r="S177" s="66"/>
      <c r="T177" s="66"/>
      <c r="U177" s="66"/>
      <c r="V177" s="66"/>
      <c r="W177" s="65"/>
      <c r="X177" s="23"/>
      <c r="Y177" s="23"/>
      <c r="Z177" s="23"/>
      <c r="AA177" s="59"/>
      <c r="AB177" s="53"/>
      <c r="AC177" s="23"/>
      <c r="AD177" s="59"/>
      <c r="AE177" s="59"/>
      <c r="AF177" s="59"/>
      <c r="AG177" s="59"/>
      <c r="AM177" s="63"/>
      <c r="AN177" s="63" t="e">
        <f t="shared" ca="1" si="1"/>
        <v>#NAME?</v>
      </c>
      <c r="AQ177" s="4"/>
      <c r="AR177" s="4"/>
    </row>
    <row r="178" spans="1:44" ht="22.5" customHeight="1">
      <c r="A178" s="59"/>
      <c r="B178" s="121"/>
      <c r="C178" s="121">
        <f t="shared" si="0"/>
        <v>27</v>
      </c>
      <c r="D178" s="121"/>
      <c r="E178" s="121"/>
      <c r="F178" s="121"/>
      <c r="G178" s="122"/>
      <c r="H178" s="122"/>
      <c r="I178" s="23"/>
      <c r="J178" s="63"/>
      <c r="K178" s="59"/>
      <c r="L178" s="59"/>
      <c r="M178" s="59"/>
      <c r="N178" s="53"/>
      <c r="O178" s="63"/>
      <c r="P178" s="64"/>
      <c r="Q178" s="65"/>
      <c r="R178" s="65"/>
      <c r="S178" s="66"/>
      <c r="T178" s="66"/>
      <c r="U178" s="66"/>
      <c r="V178" s="66"/>
      <c r="W178" s="65"/>
      <c r="X178" s="23"/>
      <c r="Y178" s="23"/>
      <c r="Z178" s="23"/>
      <c r="AA178" s="59"/>
      <c r="AB178" s="53"/>
      <c r="AC178" s="23"/>
      <c r="AD178" s="59"/>
      <c r="AE178" s="59"/>
      <c r="AF178" s="59"/>
      <c r="AG178" s="59"/>
      <c r="AM178" s="63"/>
      <c r="AN178" s="63" t="e">
        <f t="shared" ca="1" si="1"/>
        <v>#NAME?</v>
      </c>
      <c r="AQ178" s="4"/>
      <c r="AR178" s="4"/>
    </row>
    <row r="179" spans="1:44" ht="22.5" customHeight="1">
      <c r="A179" s="59"/>
      <c r="B179" s="121"/>
      <c r="C179" s="121">
        <f t="shared" si="0"/>
        <v>27</v>
      </c>
      <c r="D179" s="121"/>
      <c r="E179" s="121"/>
      <c r="F179" s="121"/>
      <c r="G179" s="122"/>
      <c r="H179" s="122"/>
      <c r="I179" s="23"/>
      <c r="J179" s="63"/>
      <c r="K179" s="59"/>
      <c r="L179" s="59"/>
      <c r="M179" s="59"/>
      <c r="N179" s="53"/>
      <c r="O179" s="63"/>
      <c r="P179" s="64"/>
      <c r="Q179" s="65"/>
      <c r="R179" s="65"/>
      <c r="S179" s="66"/>
      <c r="T179" s="66"/>
      <c r="U179" s="66"/>
      <c r="V179" s="66"/>
      <c r="W179" s="65"/>
      <c r="X179" s="23"/>
      <c r="Y179" s="23"/>
      <c r="Z179" s="23"/>
      <c r="AA179" s="59"/>
      <c r="AB179" s="53"/>
      <c r="AC179" s="23"/>
      <c r="AD179" s="59"/>
      <c r="AE179" s="59"/>
      <c r="AF179" s="59"/>
      <c r="AG179" s="59"/>
      <c r="AM179" s="63"/>
      <c r="AN179" s="63" t="e">
        <f t="shared" ca="1" si="1"/>
        <v>#NAME?</v>
      </c>
      <c r="AQ179" s="4"/>
      <c r="AR179" s="4"/>
    </row>
    <row r="180" spans="1:44" ht="22.5" customHeight="1">
      <c r="A180" s="59"/>
      <c r="B180" s="82"/>
      <c r="C180" s="82">
        <f t="shared" si="0"/>
        <v>27</v>
      </c>
      <c r="D180" s="82"/>
      <c r="E180" s="82"/>
      <c r="F180" s="82"/>
      <c r="G180" s="83"/>
      <c r="H180" s="83"/>
      <c r="I180" s="23"/>
      <c r="J180" s="63"/>
      <c r="K180" s="59"/>
      <c r="L180" s="59"/>
      <c r="M180" s="59"/>
      <c r="N180" s="53"/>
      <c r="O180" s="63"/>
      <c r="P180" s="64"/>
      <c r="Q180" s="65"/>
      <c r="R180" s="65"/>
      <c r="S180" s="66"/>
      <c r="T180" s="66"/>
      <c r="U180" s="66"/>
      <c r="V180" s="66"/>
      <c r="W180" s="65"/>
      <c r="X180" s="23"/>
      <c r="Y180" s="23"/>
      <c r="Z180" s="23"/>
      <c r="AA180" s="59"/>
      <c r="AB180" s="53"/>
      <c r="AC180" s="23"/>
      <c r="AD180" s="59"/>
      <c r="AE180" s="59"/>
      <c r="AF180" s="59"/>
      <c r="AG180" s="59"/>
      <c r="AM180" s="63"/>
      <c r="AN180" s="63" t="e">
        <f t="shared" ca="1" si="1"/>
        <v>#NAME?</v>
      </c>
      <c r="AQ180" s="4"/>
      <c r="AR180" s="4"/>
    </row>
    <row r="181" spans="1:44" ht="22.5" customHeight="1">
      <c r="A181" s="59"/>
      <c r="B181" s="82"/>
      <c r="C181" s="82">
        <f t="shared" si="0"/>
        <v>27</v>
      </c>
      <c r="D181" s="82"/>
      <c r="E181" s="82"/>
      <c r="F181" s="82"/>
      <c r="G181" s="83"/>
      <c r="H181" s="83"/>
      <c r="I181" s="23"/>
      <c r="J181" s="63"/>
      <c r="K181" s="59"/>
      <c r="L181" s="59"/>
      <c r="M181" s="59"/>
      <c r="N181" s="53"/>
      <c r="O181" s="63"/>
      <c r="P181" s="64"/>
      <c r="Q181" s="65"/>
      <c r="R181" s="65"/>
      <c r="S181" s="66"/>
      <c r="T181" s="66"/>
      <c r="U181" s="66"/>
      <c r="V181" s="66"/>
      <c r="W181" s="65"/>
      <c r="X181" s="23"/>
      <c r="Y181" s="23"/>
      <c r="Z181" s="23"/>
      <c r="AA181" s="59"/>
      <c r="AB181" s="53"/>
      <c r="AC181" s="23"/>
      <c r="AD181" s="59"/>
      <c r="AE181" s="59"/>
      <c r="AF181" s="59"/>
      <c r="AG181" s="59"/>
      <c r="AM181" s="63"/>
      <c r="AN181" s="63" t="e">
        <f t="shared" ca="1" si="1"/>
        <v>#NAME?</v>
      </c>
      <c r="AQ181" s="4"/>
      <c r="AR181" s="4"/>
    </row>
    <row r="182" spans="1:44" ht="22.5" customHeight="1">
      <c r="A182" s="59"/>
      <c r="B182" s="82"/>
      <c r="C182" s="82">
        <f t="shared" si="0"/>
        <v>27</v>
      </c>
      <c r="D182" s="82"/>
      <c r="E182" s="82"/>
      <c r="F182" s="82"/>
      <c r="G182" s="83"/>
      <c r="H182" s="83"/>
      <c r="I182" s="23"/>
      <c r="J182" s="63"/>
      <c r="K182" s="59"/>
      <c r="L182" s="59"/>
      <c r="M182" s="59"/>
      <c r="N182" s="53"/>
      <c r="O182" s="63"/>
      <c r="P182" s="109"/>
      <c r="Q182" s="65"/>
      <c r="R182" s="65"/>
      <c r="S182" s="66"/>
      <c r="T182" s="66"/>
      <c r="U182" s="66"/>
      <c r="V182" s="66"/>
      <c r="W182" s="65"/>
      <c r="X182" s="23"/>
      <c r="Y182" s="23"/>
      <c r="Z182" s="23"/>
      <c r="AA182" s="59"/>
      <c r="AB182" s="53"/>
      <c r="AC182" s="23"/>
      <c r="AD182" s="59"/>
      <c r="AE182" s="59"/>
      <c r="AF182" s="59"/>
      <c r="AG182" s="59"/>
      <c r="AM182" s="63"/>
      <c r="AN182" s="63" t="e">
        <f t="shared" ca="1" si="1"/>
        <v>#NAME?</v>
      </c>
      <c r="AQ182" s="4"/>
      <c r="AR182" s="4"/>
    </row>
    <row r="183" spans="1:44" ht="22.5" customHeight="1">
      <c r="A183" s="59"/>
      <c r="B183" s="82"/>
      <c r="C183" s="82">
        <f t="shared" si="0"/>
        <v>27</v>
      </c>
      <c r="D183" s="82"/>
      <c r="E183" s="82"/>
      <c r="F183" s="82"/>
      <c r="G183" s="83"/>
      <c r="H183" s="83"/>
      <c r="I183" s="23"/>
      <c r="J183" s="63"/>
      <c r="K183" s="59"/>
      <c r="L183" s="59"/>
      <c r="M183" s="59"/>
      <c r="N183" s="53"/>
      <c r="O183" s="63"/>
      <c r="P183" s="109"/>
      <c r="Q183" s="65"/>
      <c r="R183" s="65"/>
      <c r="S183" s="66"/>
      <c r="T183" s="66"/>
      <c r="U183" s="66"/>
      <c r="V183" s="66"/>
      <c r="W183" s="65"/>
      <c r="X183" s="23"/>
      <c r="Y183" s="23"/>
      <c r="Z183" s="23"/>
      <c r="AA183" s="59"/>
      <c r="AB183" s="53"/>
      <c r="AC183" s="23"/>
      <c r="AD183" s="59"/>
      <c r="AE183" s="59"/>
      <c r="AF183" s="59"/>
      <c r="AG183" s="59"/>
      <c r="AM183" s="63"/>
      <c r="AN183" s="63" t="e">
        <f t="shared" ca="1" si="1"/>
        <v>#NAME?</v>
      </c>
      <c r="AQ183" s="4"/>
      <c r="AR183" s="4"/>
    </row>
    <row r="184" spans="1:44" ht="22.5" customHeight="1">
      <c r="B184" s="82"/>
      <c r="C184" s="82">
        <f t="shared" si="0"/>
        <v>27</v>
      </c>
      <c r="D184" s="82"/>
      <c r="E184" s="82"/>
      <c r="F184" s="82"/>
      <c r="G184" s="83"/>
      <c r="H184" s="83"/>
      <c r="I184" s="23"/>
      <c r="J184" s="63"/>
      <c r="K184" s="59"/>
      <c r="L184" s="59"/>
      <c r="M184" s="59"/>
      <c r="N184" s="53"/>
      <c r="O184" s="63"/>
      <c r="P184" s="64"/>
      <c r="Q184" s="65"/>
      <c r="R184" s="65"/>
      <c r="S184" s="66"/>
      <c r="T184" s="66"/>
      <c r="U184" s="66"/>
      <c r="V184" s="66"/>
      <c r="W184" s="65"/>
      <c r="X184" s="23"/>
      <c r="Y184" s="23"/>
      <c r="Z184" s="23"/>
      <c r="AA184" s="59"/>
      <c r="AB184" s="53"/>
      <c r="AC184" s="23"/>
      <c r="AD184" s="59"/>
      <c r="AE184" s="59"/>
      <c r="AF184" s="59"/>
      <c r="AG184" s="59"/>
      <c r="AM184" s="63"/>
      <c r="AN184" s="63" t="e">
        <f t="shared" ca="1" si="1"/>
        <v>#NAME?</v>
      </c>
      <c r="AQ184" s="4"/>
      <c r="AR184" s="4"/>
    </row>
    <row r="185" spans="1:44" ht="22.5" customHeight="1">
      <c r="B185" s="82"/>
      <c r="C185" s="82">
        <f t="shared" si="0"/>
        <v>27</v>
      </c>
      <c r="D185" s="82"/>
      <c r="E185" s="82"/>
      <c r="F185" s="82"/>
      <c r="G185" s="83"/>
      <c r="H185" s="83"/>
      <c r="I185" s="23"/>
      <c r="J185" s="63"/>
      <c r="K185" s="59"/>
      <c r="L185" s="59"/>
      <c r="M185" s="59"/>
      <c r="N185" s="53"/>
      <c r="O185" s="63"/>
      <c r="P185" s="64"/>
      <c r="Q185" s="65"/>
      <c r="R185" s="65"/>
      <c r="S185" s="66"/>
      <c r="T185" s="66"/>
      <c r="U185" s="66"/>
      <c r="V185" s="66"/>
      <c r="W185" s="65"/>
      <c r="X185" s="23"/>
      <c r="Y185" s="23"/>
      <c r="Z185" s="23"/>
      <c r="AA185" s="59"/>
      <c r="AB185" s="53"/>
      <c r="AC185" s="23"/>
      <c r="AD185" s="59"/>
      <c r="AE185" s="59"/>
      <c r="AF185" s="59"/>
      <c r="AG185" s="59"/>
      <c r="AM185" s="63"/>
      <c r="AN185" s="63" t="e">
        <f t="shared" ca="1" si="1"/>
        <v>#NAME?</v>
      </c>
      <c r="AQ185" s="4"/>
      <c r="AR185" s="4"/>
    </row>
    <row r="186" spans="1:44" ht="22.5" customHeight="1">
      <c r="B186" s="82"/>
      <c r="C186" s="82">
        <f t="shared" si="0"/>
        <v>27</v>
      </c>
      <c r="D186" s="82"/>
      <c r="E186" s="82"/>
      <c r="F186" s="82"/>
      <c r="G186" s="83"/>
      <c r="H186" s="83"/>
      <c r="I186" s="23"/>
      <c r="J186" s="63"/>
      <c r="K186" s="59"/>
      <c r="L186" s="59"/>
      <c r="M186" s="59"/>
      <c r="N186" s="53"/>
      <c r="O186" s="63"/>
      <c r="P186" s="64"/>
      <c r="Q186" s="65"/>
      <c r="R186" s="65"/>
      <c r="S186" s="66"/>
      <c r="T186" s="66"/>
      <c r="U186" s="66"/>
      <c r="V186" s="66"/>
      <c r="W186" s="65"/>
      <c r="X186" s="23"/>
      <c r="Y186" s="23"/>
      <c r="Z186" s="23"/>
      <c r="AA186" s="59"/>
      <c r="AB186" s="53"/>
      <c r="AC186" s="23"/>
      <c r="AD186" s="59"/>
      <c r="AE186" s="59"/>
      <c r="AF186" s="59"/>
      <c r="AG186" s="59"/>
      <c r="AM186" s="63"/>
      <c r="AN186" s="63" t="e">
        <f t="shared" ca="1" si="1"/>
        <v>#NAME?</v>
      </c>
      <c r="AQ186" s="4"/>
      <c r="AR186" s="4"/>
    </row>
    <row r="187" spans="1:44" ht="22.5" customHeight="1">
      <c r="B187" s="82"/>
      <c r="C187" s="82">
        <f t="shared" si="0"/>
        <v>27</v>
      </c>
      <c r="D187" s="82"/>
      <c r="E187" s="82"/>
      <c r="F187" s="82"/>
      <c r="G187" s="83"/>
      <c r="H187" s="83"/>
      <c r="I187" s="23"/>
      <c r="J187" s="63"/>
      <c r="K187" s="59"/>
      <c r="L187" s="59"/>
      <c r="M187" s="59"/>
      <c r="N187" s="53"/>
      <c r="O187" s="63"/>
      <c r="P187" s="109"/>
      <c r="Q187" s="65"/>
      <c r="R187" s="65"/>
      <c r="S187" s="66"/>
      <c r="T187" s="66"/>
      <c r="U187" s="66"/>
      <c r="V187" s="66"/>
      <c r="W187" s="65"/>
      <c r="X187" s="23"/>
      <c r="Y187" s="23"/>
      <c r="Z187" s="23"/>
      <c r="AA187" s="59"/>
      <c r="AB187" s="53"/>
      <c r="AC187" s="23"/>
      <c r="AD187" s="59"/>
      <c r="AE187" s="59"/>
      <c r="AF187" s="59"/>
      <c r="AG187" s="59"/>
      <c r="AM187" s="63"/>
      <c r="AN187" s="63" t="e">
        <f t="shared" ca="1" si="1"/>
        <v>#NAME?</v>
      </c>
      <c r="AQ187" s="4"/>
      <c r="AR187" s="4"/>
    </row>
    <row r="188" spans="1:44" ht="22.5" customHeight="1">
      <c r="B188" s="103"/>
      <c r="C188" s="103">
        <f t="shared" si="0"/>
        <v>27</v>
      </c>
      <c r="D188" s="103"/>
      <c r="E188" s="103"/>
      <c r="F188" s="103"/>
      <c r="G188" s="104"/>
      <c r="H188" s="104"/>
      <c r="I188" s="23"/>
      <c r="J188" s="63"/>
      <c r="K188" s="59"/>
      <c r="L188" s="59"/>
      <c r="M188" s="59"/>
      <c r="N188" s="53"/>
      <c r="O188" s="63"/>
      <c r="P188" s="64"/>
      <c r="Q188" s="65"/>
      <c r="R188" s="65"/>
      <c r="S188" s="66"/>
      <c r="T188" s="66"/>
      <c r="U188" s="66"/>
      <c r="V188" s="66"/>
      <c r="W188" s="65"/>
      <c r="X188" s="23"/>
      <c r="Y188" s="23"/>
      <c r="Z188" s="23"/>
      <c r="AA188" s="59"/>
      <c r="AB188" s="53"/>
      <c r="AC188" s="23"/>
      <c r="AD188" s="59"/>
      <c r="AE188" s="59"/>
      <c r="AF188" s="59"/>
      <c r="AG188" s="59"/>
      <c r="AM188" s="63"/>
      <c r="AN188" s="63" t="e">
        <f t="shared" ca="1" si="1"/>
        <v>#NAME?</v>
      </c>
      <c r="AQ188" s="4"/>
      <c r="AR188" s="4"/>
    </row>
    <row r="189" spans="1:44" ht="22.5" customHeight="1">
      <c r="B189" s="103"/>
      <c r="C189" s="103">
        <f t="shared" si="0"/>
        <v>27</v>
      </c>
      <c r="D189" s="103"/>
      <c r="E189" s="103"/>
      <c r="F189" s="103"/>
      <c r="G189" s="104"/>
      <c r="H189" s="104"/>
      <c r="I189" s="23"/>
      <c r="J189" s="63"/>
      <c r="K189" s="59"/>
      <c r="L189" s="59"/>
      <c r="M189" s="59"/>
      <c r="N189" s="53"/>
      <c r="O189" s="63"/>
      <c r="P189" s="64"/>
      <c r="Q189" s="65"/>
      <c r="R189" s="65"/>
      <c r="S189" s="66"/>
      <c r="T189" s="66"/>
      <c r="U189" s="66"/>
      <c r="V189" s="66"/>
      <c r="W189" s="65"/>
      <c r="X189" s="23"/>
      <c r="Y189" s="23"/>
      <c r="Z189" s="23"/>
      <c r="AA189" s="59"/>
      <c r="AB189" s="53"/>
      <c r="AC189" s="23"/>
      <c r="AD189" s="59"/>
      <c r="AE189" s="59"/>
      <c r="AF189" s="59"/>
      <c r="AG189" s="59"/>
      <c r="AM189" s="63"/>
      <c r="AN189" s="63" t="e">
        <f t="shared" ca="1" si="1"/>
        <v>#NAME?</v>
      </c>
      <c r="AQ189" s="4"/>
      <c r="AR189" s="4"/>
    </row>
    <row r="190" spans="1:44" ht="22.5" customHeight="1">
      <c r="B190" s="103"/>
      <c r="C190" s="103">
        <f t="shared" si="0"/>
        <v>27</v>
      </c>
      <c r="D190" s="103"/>
      <c r="E190" s="103"/>
      <c r="F190" s="103"/>
      <c r="G190" s="104"/>
      <c r="H190" s="104"/>
      <c r="I190" s="23"/>
      <c r="J190" s="63"/>
      <c r="K190" s="59"/>
      <c r="L190" s="59"/>
      <c r="M190" s="59"/>
      <c r="N190" s="53"/>
      <c r="O190" s="63"/>
      <c r="P190" s="64"/>
      <c r="Q190" s="65"/>
      <c r="R190" s="65"/>
      <c r="S190" s="66"/>
      <c r="T190" s="66"/>
      <c r="U190" s="66"/>
      <c r="V190" s="66"/>
      <c r="W190" s="65"/>
      <c r="X190" s="23"/>
      <c r="Y190" s="23"/>
      <c r="Z190" s="23"/>
      <c r="AA190" s="59"/>
      <c r="AB190" s="53"/>
      <c r="AC190" s="23"/>
      <c r="AD190" s="59"/>
      <c r="AE190" s="59"/>
      <c r="AF190" s="59"/>
      <c r="AG190" s="59"/>
      <c r="AM190" s="63"/>
      <c r="AN190" s="63" t="e">
        <f t="shared" ca="1" si="1"/>
        <v>#NAME?</v>
      </c>
      <c r="AQ190" s="4"/>
      <c r="AR190" s="4"/>
    </row>
    <row r="191" spans="1:44" ht="22.5" customHeight="1">
      <c r="B191" s="103"/>
      <c r="C191" s="103">
        <f t="shared" si="0"/>
        <v>27</v>
      </c>
      <c r="D191" s="103"/>
      <c r="E191" s="103"/>
      <c r="F191" s="103"/>
      <c r="G191" s="104"/>
      <c r="H191" s="104"/>
      <c r="I191" s="23"/>
      <c r="J191" s="63"/>
      <c r="K191" s="59"/>
      <c r="L191" s="59"/>
      <c r="M191" s="59"/>
      <c r="N191" s="53"/>
      <c r="O191" s="63"/>
      <c r="P191" s="109"/>
      <c r="Q191" s="65"/>
      <c r="R191" s="65"/>
      <c r="S191" s="66"/>
      <c r="T191" s="66"/>
      <c r="U191" s="66"/>
      <c r="V191" s="66"/>
      <c r="W191" s="65"/>
      <c r="X191" s="23"/>
      <c r="Y191" s="23"/>
      <c r="Z191" s="23"/>
      <c r="AA191" s="59"/>
      <c r="AB191" s="53"/>
      <c r="AC191" s="23"/>
      <c r="AD191" s="59"/>
      <c r="AE191" s="59"/>
      <c r="AF191" s="59"/>
      <c r="AG191" s="59"/>
      <c r="AM191" s="63"/>
      <c r="AN191" s="63" t="e">
        <f t="shared" ca="1" si="1"/>
        <v>#NAME?</v>
      </c>
      <c r="AQ191" s="4"/>
      <c r="AR191" s="4"/>
    </row>
    <row r="192" spans="1:44" ht="22.5" customHeight="1">
      <c r="B192" s="103"/>
      <c r="C192" s="103">
        <f t="shared" si="0"/>
        <v>27</v>
      </c>
      <c r="D192" s="103"/>
      <c r="E192" s="103"/>
      <c r="F192" s="103"/>
      <c r="G192" s="104"/>
      <c r="H192" s="104"/>
      <c r="I192" s="23"/>
      <c r="J192" s="63"/>
      <c r="K192" s="59"/>
      <c r="L192" s="59"/>
      <c r="M192" s="59"/>
      <c r="N192" s="53"/>
      <c r="O192" s="63"/>
      <c r="P192" s="64"/>
      <c r="Q192" s="65"/>
      <c r="R192" s="65"/>
      <c r="S192" s="66"/>
      <c r="T192" s="66"/>
      <c r="U192" s="66"/>
      <c r="V192" s="66"/>
      <c r="W192" s="65"/>
      <c r="X192" s="23"/>
      <c r="Y192" s="23"/>
      <c r="Z192" s="23"/>
      <c r="AA192" s="59"/>
      <c r="AB192" s="53"/>
      <c r="AC192" s="23"/>
      <c r="AD192" s="59"/>
      <c r="AE192" s="59"/>
      <c r="AF192" s="59"/>
      <c r="AG192" s="59"/>
      <c r="AM192" s="63"/>
      <c r="AN192" s="63" t="e">
        <f t="shared" ca="1" si="1"/>
        <v>#NAME?</v>
      </c>
      <c r="AQ192" s="4"/>
      <c r="AR192" s="4"/>
    </row>
    <row r="193" spans="1:44" ht="22.5" customHeight="1">
      <c r="B193" s="103"/>
      <c r="C193" s="103">
        <f t="shared" si="0"/>
        <v>27</v>
      </c>
      <c r="D193" s="103"/>
      <c r="E193" s="103"/>
      <c r="F193" s="103"/>
      <c r="G193" s="104"/>
      <c r="H193" s="104"/>
      <c r="I193" s="23"/>
      <c r="J193" s="63"/>
      <c r="K193" s="59"/>
      <c r="L193" s="59"/>
      <c r="M193" s="59"/>
      <c r="N193" s="53"/>
      <c r="O193" s="63"/>
      <c r="P193" s="109"/>
      <c r="Q193" s="34"/>
      <c r="R193" s="34"/>
      <c r="S193" s="66"/>
      <c r="T193" s="66"/>
      <c r="U193" s="66"/>
      <c r="V193" s="66"/>
      <c r="W193" s="65"/>
      <c r="X193" s="23"/>
      <c r="Y193" s="23"/>
      <c r="Z193" s="23"/>
      <c r="AA193" s="59"/>
      <c r="AB193" s="53"/>
      <c r="AC193" s="23"/>
      <c r="AD193" s="59"/>
      <c r="AE193" s="59"/>
      <c r="AF193" s="59"/>
      <c r="AG193" s="59"/>
      <c r="AM193" s="63"/>
      <c r="AN193" s="63" t="e">
        <f t="shared" ca="1" si="1"/>
        <v>#NAME?</v>
      </c>
      <c r="AQ193" s="4"/>
      <c r="AR193" s="4"/>
    </row>
    <row r="194" spans="1:44" ht="22.5" customHeight="1">
      <c r="B194" s="103"/>
      <c r="C194" s="103">
        <f t="shared" si="0"/>
        <v>27</v>
      </c>
      <c r="D194" s="103"/>
      <c r="E194" s="103"/>
      <c r="F194" s="103"/>
      <c r="G194" s="104"/>
      <c r="H194" s="104"/>
      <c r="I194" s="23"/>
      <c r="J194" s="63"/>
      <c r="K194" s="59"/>
      <c r="L194" s="59"/>
      <c r="M194" s="59"/>
      <c r="N194" s="53"/>
      <c r="O194" s="63"/>
      <c r="P194" s="109"/>
      <c r="Q194" s="34"/>
      <c r="R194" s="34"/>
      <c r="S194" s="66"/>
      <c r="T194" s="66"/>
      <c r="U194" s="66"/>
      <c r="V194" s="66"/>
      <c r="W194" s="65"/>
      <c r="X194" s="23"/>
      <c r="Y194" s="23"/>
      <c r="Z194" s="23"/>
      <c r="AA194" s="59"/>
      <c r="AB194" s="53"/>
      <c r="AC194" s="23"/>
      <c r="AD194" s="59"/>
      <c r="AE194" s="59"/>
      <c r="AF194" s="59"/>
      <c r="AG194" s="59"/>
      <c r="AM194" s="63"/>
      <c r="AN194" s="63" t="e">
        <f t="shared" ca="1" si="1"/>
        <v>#NAME?</v>
      </c>
      <c r="AQ194" s="4"/>
      <c r="AR194" s="4"/>
    </row>
    <row r="195" spans="1:44" ht="22.5" customHeight="1">
      <c r="C195" s="59">
        <f t="shared" si="0"/>
        <v>27</v>
      </c>
      <c r="G195" s="53"/>
      <c r="H195" s="53"/>
      <c r="I195" s="23"/>
      <c r="J195" s="63"/>
      <c r="K195" s="59"/>
      <c r="L195" s="59"/>
      <c r="M195" s="59"/>
      <c r="N195" s="53"/>
      <c r="O195" s="63"/>
      <c r="P195" s="64"/>
      <c r="Q195" s="65"/>
      <c r="R195" s="65"/>
      <c r="S195" s="66"/>
      <c r="T195" s="66"/>
      <c r="U195" s="66"/>
      <c r="V195" s="66"/>
      <c r="W195" s="65"/>
      <c r="X195" s="23"/>
      <c r="Y195" s="23"/>
      <c r="Z195" s="23"/>
      <c r="AA195" s="59"/>
      <c r="AB195" s="53"/>
      <c r="AC195" s="23"/>
      <c r="AD195" s="59"/>
      <c r="AE195" s="59"/>
      <c r="AF195" s="59"/>
      <c r="AG195" s="59"/>
      <c r="AM195" s="63"/>
      <c r="AN195" s="63" t="e">
        <f t="shared" ca="1" si="1"/>
        <v>#NAME?</v>
      </c>
      <c r="AQ195" s="4"/>
      <c r="AR195" s="4"/>
    </row>
    <row r="196" spans="1:44" ht="22.5" customHeight="1">
      <c r="C196" s="59">
        <f t="shared" si="0"/>
        <v>27</v>
      </c>
      <c r="G196" s="53"/>
      <c r="H196" s="53"/>
      <c r="I196" s="23"/>
      <c r="J196" s="63"/>
      <c r="K196" s="59"/>
      <c r="L196" s="59"/>
      <c r="M196" s="59"/>
      <c r="N196" s="53"/>
      <c r="O196" s="63"/>
      <c r="P196" s="64"/>
      <c r="Q196" s="65"/>
      <c r="R196" s="65"/>
      <c r="S196" s="66"/>
      <c r="T196" s="66"/>
      <c r="U196" s="66"/>
      <c r="V196" s="66"/>
      <c r="W196" s="65"/>
      <c r="X196" s="23"/>
      <c r="Y196" s="23"/>
      <c r="Z196" s="23"/>
      <c r="AA196" s="59"/>
      <c r="AB196" s="53"/>
      <c r="AC196" s="23"/>
      <c r="AD196" s="59"/>
      <c r="AE196" s="59"/>
      <c r="AF196" s="59"/>
      <c r="AG196" s="59"/>
      <c r="AM196" s="63"/>
      <c r="AN196" s="63" t="e">
        <f t="shared" ca="1" si="1"/>
        <v>#NAME?</v>
      </c>
      <c r="AQ196" s="46"/>
      <c r="AR196" s="46"/>
    </row>
    <row r="197" spans="1:44" ht="22.5" customHeight="1">
      <c r="C197" s="59">
        <f t="shared" si="0"/>
        <v>27</v>
      </c>
      <c r="G197" s="53"/>
      <c r="H197" s="53"/>
      <c r="I197" s="23"/>
      <c r="J197" s="63"/>
      <c r="K197" s="59"/>
      <c r="L197" s="59"/>
      <c r="M197" s="59"/>
      <c r="N197" s="53"/>
      <c r="O197" s="63"/>
      <c r="P197" s="64"/>
      <c r="Q197" s="65"/>
      <c r="R197" s="65"/>
      <c r="S197" s="66"/>
      <c r="T197" s="66"/>
      <c r="U197" s="66"/>
      <c r="V197" s="66"/>
      <c r="W197" s="65"/>
      <c r="X197" s="23"/>
      <c r="Y197" s="23"/>
      <c r="Z197" s="23"/>
      <c r="AA197" s="59"/>
      <c r="AB197" s="53"/>
      <c r="AC197" s="23"/>
      <c r="AD197" s="59"/>
      <c r="AE197" s="59"/>
      <c r="AF197" s="59"/>
      <c r="AG197" s="59"/>
      <c r="AM197" s="63"/>
      <c r="AN197" s="63" t="e">
        <f t="shared" ca="1" si="1"/>
        <v>#NAME?</v>
      </c>
      <c r="AQ197" s="4"/>
      <c r="AR197" s="4"/>
    </row>
    <row r="198" spans="1:44" ht="22.5" customHeight="1">
      <c r="G198" s="28"/>
      <c r="H198" s="28"/>
      <c r="I198" s="63"/>
      <c r="J198" s="63"/>
      <c r="K198" s="3"/>
      <c r="L198" s="3"/>
      <c r="M198" s="3"/>
      <c r="N198" s="28"/>
      <c r="O198" s="63"/>
      <c r="P198" s="64"/>
      <c r="Q198" s="65"/>
      <c r="R198" s="65"/>
      <c r="S198" s="128"/>
      <c r="T198" s="128"/>
      <c r="U198" s="128"/>
      <c r="V198" s="128"/>
      <c r="W198" s="65"/>
      <c r="X198" s="23"/>
      <c r="Y198" s="23"/>
      <c r="Z198" s="23"/>
      <c r="AA198" s="3"/>
      <c r="AB198" s="28"/>
      <c r="AC198" s="23"/>
      <c r="AD198" s="3"/>
      <c r="AE198" s="3"/>
      <c r="AF198" s="3"/>
      <c r="AG198" s="3"/>
      <c r="AM198" s="63"/>
      <c r="AN198" s="63" t="e">
        <f t="shared" ca="1" si="1"/>
        <v>#NAME?</v>
      </c>
      <c r="AQ198" s="4"/>
      <c r="AR198" s="4"/>
    </row>
    <row r="199" spans="1:44" ht="15">
      <c r="G199" s="28"/>
      <c r="H199" s="28"/>
      <c r="I199" s="63"/>
      <c r="J199" s="63"/>
      <c r="K199" s="3"/>
      <c r="L199" s="3"/>
      <c r="M199" s="3"/>
      <c r="N199" s="28"/>
      <c r="O199" s="63"/>
      <c r="P199" s="64"/>
      <c r="Q199" s="65"/>
      <c r="R199" s="65"/>
      <c r="S199" s="128"/>
      <c r="T199" s="128"/>
      <c r="U199" s="128"/>
      <c r="V199" s="128"/>
      <c r="W199" s="65"/>
      <c r="X199" s="23"/>
      <c r="Y199" s="23"/>
      <c r="Z199" s="23"/>
      <c r="AA199" s="3"/>
      <c r="AB199" s="28"/>
      <c r="AC199" s="23"/>
      <c r="AD199" s="3"/>
      <c r="AE199" s="3"/>
      <c r="AF199" s="3"/>
      <c r="AG199" s="3"/>
      <c r="AM199" s="63"/>
      <c r="AQ199" s="4"/>
      <c r="AR199" s="4"/>
    </row>
    <row r="200" spans="1:44" ht="15">
      <c r="G200" s="28"/>
      <c r="H200" s="28"/>
      <c r="I200" s="63"/>
      <c r="J200" s="63"/>
      <c r="K200" s="3"/>
      <c r="L200" s="3"/>
      <c r="M200" s="3"/>
      <c r="N200" s="28"/>
      <c r="O200" s="63"/>
      <c r="P200" s="64"/>
      <c r="Q200" s="65"/>
      <c r="R200" s="65"/>
      <c r="S200" s="128"/>
      <c r="T200" s="128"/>
      <c r="U200" s="128"/>
      <c r="V200" s="128"/>
      <c r="W200" s="65"/>
      <c r="X200" s="23"/>
      <c r="Y200" s="23"/>
      <c r="Z200" s="23"/>
      <c r="AA200" s="3"/>
      <c r="AB200" s="28"/>
      <c r="AC200" s="23"/>
      <c r="AD200" s="3"/>
      <c r="AE200" s="3"/>
      <c r="AF200" s="3"/>
      <c r="AG200" s="3"/>
      <c r="AM200" s="63"/>
      <c r="AQ200" s="4"/>
      <c r="AR200" s="4"/>
    </row>
    <row r="201" spans="1:44" ht="15">
      <c r="G201" s="28"/>
      <c r="H201" s="28"/>
      <c r="I201" s="63"/>
      <c r="J201" s="63"/>
      <c r="K201" s="3"/>
      <c r="L201" s="3"/>
      <c r="M201" s="3"/>
      <c r="N201" s="28"/>
      <c r="O201" s="63"/>
      <c r="P201" s="64"/>
      <c r="Q201" s="65"/>
      <c r="R201" s="65"/>
      <c r="S201" s="128"/>
      <c r="T201" s="128"/>
      <c r="U201" s="128"/>
      <c r="V201" s="128"/>
      <c r="W201" s="65"/>
      <c r="X201" s="23"/>
      <c r="Y201" s="23"/>
      <c r="Z201" s="23"/>
      <c r="AA201" s="3"/>
      <c r="AB201" s="28"/>
      <c r="AC201" s="23"/>
      <c r="AD201" s="3"/>
      <c r="AE201" s="3"/>
      <c r="AF201" s="3"/>
      <c r="AG201" s="3"/>
      <c r="AM201" s="63"/>
      <c r="AQ201" s="4"/>
      <c r="AR201" s="4"/>
    </row>
    <row r="202" spans="1:44" ht="15">
      <c r="A202" s="3"/>
      <c r="G202" s="28"/>
      <c r="H202" s="28"/>
      <c r="I202" s="63"/>
      <c r="J202" s="63"/>
      <c r="K202" s="3"/>
      <c r="L202" s="3"/>
      <c r="M202" s="3"/>
      <c r="N202" s="28"/>
      <c r="O202" s="63"/>
      <c r="P202" s="64"/>
      <c r="Q202" s="65"/>
      <c r="R202" s="65"/>
      <c r="S202" s="128"/>
      <c r="T202" s="128"/>
      <c r="U202" s="128"/>
      <c r="V202" s="128"/>
      <c r="W202" s="65"/>
      <c r="X202" s="23"/>
      <c r="Y202" s="23"/>
      <c r="Z202" s="23"/>
      <c r="AA202" s="3"/>
      <c r="AB202" s="28"/>
      <c r="AC202" s="23"/>
      <c r="AD202" s="3"/>
      <c r="AE202" s="3"/>
      <c r="AF202" s="3"/>
      <c r="AG202" s="3"/>
      <c r="AM202" s="63"/>
      <c r="AQ202" s="4"/>
      <c r="AR202" s="4"/>
    </row>
    <row r="203" spans="1:44" ht="15">
      <c r="B203" s="129"/>
      <c r="C203" s="129"/>
      <c r="D203" s="129"/>
      <c r="E203" s="129"/>
      <c r="F203" s="129"/>
      <c r="G203" s="28"/>
      <c r="H203" s="28"/>
      <c r="I203" s="63"/>
      <c r="J203" s="63"/>
      <c r="K203" s="3"/>
      <c r="L203" s="3"/>
      <c r="M203" s="3"/>
      <c r="N203" s="28"/>
      <c r="O203" s="63"/>
      <c r="P203" s="64"/>
      <c r="Q203" s="65"/>
      <c r="R203" s="65"/>
      <c r="S203" s="128"/>
      <c r="T203" s="128"/>
      <c r="U203" s="128"/>
      <c r="V203" s="128"/>
      <c r="W203" s="65"/>
      <c r="X203" s="23"/>
      <c r="Y203" s="23"/>
      <c r="Z203" s="23"/>
      <c r="AA203" s="3"/>
      <c r="AB203" s="28"/>
      <c r="AC203" s="23"/>
      <c r="AD203" s="3"/>
      <c r="AE203" s="3"/>
      <c r="AF203" s="3"/>
      <c r="AG203" s="3"/>
      <c r="AM203" s="63"/>
      <c r="AQ203" s="4"/>
      <c r="AR203" s="4"/>
    </row>
    <row r="204" spans="1:44" ht="16">
      <c r="G204" s="130"/>
      <c r="H204" s="130"/>
      <c r="I204" s="130"/>
      <c r="J204" s="130"/>
      <c r="K204" s="129"/>
      <c r="L204" s="129"/>
      <c r="M204" s="129"/>
      <c r="N204" s="130"/>
      <c r="O204" s="130"/>
      <c r="P204" s="131"/>
      <c r="Q204" s="129"/>
      <c r="R204" s="129"/>
      <c r="S204" s="129"/>
      <c r="T204" s="129"/>
      <c r="U204" s="129"/>
      <c r="V204" s="129"/>
      <c r="W204" s="65"/>
      <c r="AB204" s="28"/>
      <c r="AM204" s="63"/>
      <c r="AQ204" s="4"/>
      <c r="AR204" s="4"/>
    </row>
    <row r="205" spans="1:44" ht="15">
      <c r="G205" s="28"/>
      <c r="H205" s="28"/>
      <c r="I205" s="28"/>
      <c r="J205" s="28"/>
      <c r="N205" s="63"/>
      <c r="O205" s="63"/>
      <c r="P205" s="28"/>
      <c r="W205" s="65"/>
      <c r="AB205" s="28"/>
      <c r="AM205" s="130"/>
      <c r="AQ205" s="4"/>
      <c r="AR205" s="4"/>
    </row>
    <row r="206" spans="1:44" ht="15">
      <c r="G206" s="130"/>
      <c r="H206" s="130"/>
      <c r="I206" s="130"/>
      <c r="J206" s="130"/>
      <c r="K206" s="129"/>
      <c r="L206" s="129"/>
      <c r="M206" s="129"/>
      <c r="N206" s="130"/>
      <c r="O206" s="130"/>
      <c r="P206" s="130"/>
      <c r="Q206" s="129"/>
      <c r="R206" s="129"/>
      <c r="W206" s="65"/>
      <c r="AB206" s="28"/>
      <c r="AC206" s="129"/>
      <c r="AM206" s="28"/>
      <c r="AQ206" s="4"/>
      <c r="AR206" s="4"/>
    </row>
    <row r="207" spans="1:44" ht="15">
      <c r="G207" s="28"/>
      <c r="H207" s="28"/>
      <c r="I207" s="28"/>
      <c r="J207" s="28"/>
      <c r="N207" s="63"/>
      <c r="O207" s="63"/>
      <c r="P207" s="28"/>
      <c r="W207" s="65"/>
      <c r="AB207" s="28"/>
      <c r="AM207" s="130"/>
      <c r="AQ207" s="4"/>
      <c r="AR207" s="4"/>
    </row>
    <row r="208" spans="1:44" ht="15">
      <c r="G208" s="28"/>
      <c r="H208" s="28"/>
      <c r="I208" s="28"/>
      <c r="J208" s="28"/>
      <c r="N208" s="63"/>
      <c r="O208" s="63"/>
      <c r="P208" s="28"/>
      <c r="W208" s="65"/>
      <c r="AB208" s="28"/>
      <c r="AM208" s="28"/>
      <c r="AQ208" s="4"/>
      <c r="AR208" s="4"/>
    </row>
    <row r="209" spans="7:44" ht="15">
      <c r="G209" s="28"/>
      <c r="H209" s="28"/>
      <c r="I209" s="28"/>
      <c r="J209" s="28"/>
      <c r="N209" s="63"/>
      <c r="O209" s="63"/>
      <c r="P209" s="28"/>
      <c r="AB209" s="28"/>
      <c r="AM209" s="28"/>
      <c r="AQ209" s="4"/>
      <c r="AR209" s="4"/>
    </row>
    <row r="210" spans="7:44" ht="15">
      <c r="G210" s="28"/>
      <c r="H210" s="28"/>
      <c r="I210" s="28"/>
      <c r="J210" s="28"/>
      <c r="N210" s="63"/>
      <c r="O210" s="63"/>
      <c r="P210" s="28"/>
      <c r="AB210" s="28"/>
      <c r="AM210" s="28"/>
      <c r="AQ210" s="4"/>
      <c r="AR210" s="4"/>
    </row>
    <row r="211" spans="7:44" ht="15">
      <c r="G211" s="28"/>
      <c r="H211" s="28"/>
      <c r="I211" s="28"/>
      <c r="J211" s="28"/>
      <c r="N211" s="63"/>
      <c r="O211" s="63"/>
      <c r="P211" s="28"/>
      <c r="AB211" s="28"/>
      <c r="AM211" s="28"/>
      <c r="AQ211" s="4"/>
      <c r="AR211" s="4"/>
    </row>
    <row r="212" spans="7:44" ht="15">
      <c r="G212" s="28"/>
      <c r="H212" s="28"/>
      <c r="I212" s="28"/>
      <c r="J212" s="28"/>
      <c r="N212" s="63"/>
      <c r="O212" s="63"/>
      <c r="P212" s="28"/>
      <c r="AB212" s="28"/>
      <c r="AM212" s="28"/>
      <c r="AQ212" s="4"/>
      <c r="AR212" s="4"/>
    </row>
    <row r="213" spans="7:44" ht="15">
      <c r="G213" s="28"/>
      <c r="H213" s="28"/>
      <c r="I213" s="28"/>
      <c r="J213" s="28"/>
      <c r="N213" s="63"/>
      <c r="O213" s="63"/>
      <c r="P213" s="28"/>
      <c r="AB213" s="28"/>
      <c r="AM213" s="28"/>
      <c r="AQ213" s="4"/>
      <c r="AR213" s="4"/>
    </row>
    <row r="214" spans="7:44" ht="15">
      <c r="G214" s="28"/>
      <c r="H214" s="28"/>
      <c r="I214" s="28"/>
      <c r="J214" s="28"/>
      <c r="N214" s="63"/>
      <c r="O214" s="63"/>
      <c r="P214" s="28"/>
      <c r="AB214" s="28"/>
      <c r="AM214" s="28"/>
      <c r="AQ214" s="4"/>
      <c r="AR214" s="4"/>
    </row>
    <row r="215" spans="7:44" ht="15">
      <c r="G215" s="28"/>
      <c r="H215" s="28"/>
      <c r="I215" s="28"/>
      <c r="J215" s="28"/>
      <c r="N215" s="63"/>
      <c r="O215" s="63"/>
      <c r="P215" s="28"/>
      <c r="AB215" s="28"/>
      <c r="AM215" s="28"/>
      <c r="AQ215" s="4"/>
      <c r="AR215" s="4"/>
    </row>
    <row r="216" spans="7:44" ht="15">
      <c r="G216" s="28"/>
      <c r="H216" s="28"/>
      <c r="I216" s="28"/>
      <c r="J216" s="28"/>
      <c r="N216" s="63"/>
      <c r="O216" s="63"/>
      <c r="P216" s="28"/>
      <c r="AB216" s="28"/>
      <c r="AM216" s="28"/>
      <c r="AQ216" s="4"/>
      <c r="AR216" s="4"/>
    </row>
    <row r="217" spans="7:44" ht="15">
      <c r="G217" s="28"/>
      <c r="H217" s="28"/>
      <c r="I217" s="28"/>
      <c r="J217" s="28"/>
      <c r="N217" s="63"/>
      <c r="O217" s="63"/>
      <c r="P217" s="28"/>
      <c r="AB217" s="28"/>
      <c r="AM217" s="28"/>
      <c r="AQ217" s="4"/>
      <c r="AR217" s="4"/>
    </row>
    <row r="218" spans="7:44" ht="15">
      <c r="G218" s="28"/>
      <c r="H218" s="28"/>
      <c r="I218" s="28"/>
      <c r="J218" s="28"/>
      <c r="N218" s="63"/>
      <c r="O218" s="63"/>
      <c r="P218" s="28"/>
      <c r="AB218" s="28"/>
      <c r="AM218" s="28"/>
      <c r="AQ218" s="4"/>
      <c r="AR218" s="4"/>
    </row>
    <row r="219" spans="7:44" ht="15">
      <c r="G219" s="28"/>
      <c r="H219" s="28"/>
      <c r="I219" s="28"/>
      <c r="J219" s="28"/>
      <c r="N219" s="63"/>
      <c r="O219" s="63"/>
      <c r="P219" s="28"/>
      <c r="AB219" s="28"/>
      <c r="AM219" s="28"/>
      <c r="AQ219" s="4"/>
      <c r="AR219" s="4"/>
    </row>
    <row r="220" spans="7:44" ht="15">
      <c r="G220" s="28"/>
      <c r="H220" s="28"/>
      <c r="I220" s="28"/>
      <c r="J220" s="28"/>
      <c r="N220" s="63"/>
      <c r="O220" s="63"/>
      <c r="P220" s="28"/>
      <c r="AB220" s="28"/>
      <c r="AM220" s="28"/>
      <c r="AQ220" s="4"/>
      <c r="AR220" s="4"/>
    </row>
    <row r="221" spans="7:44" ht="15">
      <c r="G221" s="28"/>
      <c r="H221" s="28"/>
      <c r="I221" s="28"/>
      <c r="J221" s="28"/>
      <c r="N221" s="63"/>
      <c r="O221" s="63"/>
      <c r="P221" s="28"/>
      <c r="AB221" s="28"/>
      <c r="AM221" s="28"/>
      <c r="AQ221" s="4"/>
      <c r="AR221" s="4"/>
    </row>
    <row r="222" spans="7:44" ht="15">
      <c r="G222" s="28"/>
      <c r="H222" s="28"/>
      <c r="I222" s="28"/>
      <c r="J222" s="28"/>
      <c r="N222" s="63"/>
      <c r="O222" s="63"/>
      <c r="P222" s="28"/>
      <c r="AB222" s="28"/>
      <c r="AM222" s="28"/>
      <c r="AQ222" s="4"/>
      <c r="AR222" s="4"/>
    </row>
    <row r="223" spans="7:44" ht="15">
      <c r="G223" s="28"/>
      <c r="H223" s="28"/>
      <c r="I223" s="28"/>
      <c r="J223" s="28"/>
      <c r="N223" s="63"/>
      <c r="O223" s="63"/>
      <c r="P223" s="28"/>
      <c r="AB223" s="28"/>
      <c r="AM223" s="28"/>
      <c r="AQ223" s="4"/>
      <c r="AR223" s="4"/>
    </row>
    <row r="224" spans="7:44" ht="15">
      <c r="G224" s="28"/>
      <c r="H224" s="28"/>
      <c r="I224" s="28"/>
      <c r="J224" s="28"/>
      <c r="N224" s="63"/>
      <c r="O224" s="63"/>
      <c r="P224" s="28"/>
      <c r="AB224" s="28"/>
      <c r="AM224" s="28"/>
      <c r="AQ224" s="4"/>
      <c r="AR224" s="4"/>
    </row>
    <row r="225" spans="7:44" ht="15">
      <c r="G225" s="28"/>
      <c r="H225" s="28"/>
      <c r="I225" s="28"/>
      <c r="J225" s="28"/>
      <c r="N225" s="63"/>
      <c r="O225" s="63"/>
      <c r="P225" s="28"/>
      <c r="AB225" s="28"/>
      <c r="AM225" s="28"/>
      <c r="AQ225" s="4"/>
      <c r="AR225" s="4"/>
    </row>
    <row r="226" spans="7:44" ht="15">
      <c r="G226" s="28"/>
      <c r="H226" s="28"/>
      <c r="I226" s="28"/>
      <c r="J226" s="28"/>
      <c r="N226" s="63"/>
      <c r="O226" s="63"/>
      <c r="P226" s="28"/>
      <c r="AB226" s="28"/>
      <c r="AM226" s="28"/>
      <c r="AQ226" s="4"/>
      <c r="AR226" s="4"/>
    </row>
    <row r="227" spans="7:44" ht="15">
      <c r="G227" s="28"/>
      <c r="H227" s="28"/>
      <c r="I227" s="28"/>
      <c r="J227" s="28"/>
      <c r="N227" s="63"/>
      <c r="O227" s="63"/>
      <c r="P227" s="28"/>
      <c r="AB227" s="28"/>
      <c r="AM227" s="28"/>
      <c r="AQ227" s="4"/>
      <c r="AR227" s="4"/>
    </row>
    <row r="228" spans="7:44" ht="15">
      <c r="G228" s="28"/>
      <c r="H228" s="28"/>
      <c r="I228" s="28"/>
      <c r="J228" s="28"/>
      <c r="N228" s="63"/>
      <c r="O228" s="63"/>
      <c r="P228" s="28"/>
      <c r="AB228" s="28"/>
      <c r="AM228" s="28"/>
      <c r="AQ228" s="4"/>
      <c r="AR228" s="4"/>
    </row>
    <row r="229" spans="7:44" ht="15">
      <c r="G229" s="28"/>
      <c r="H229" s="28"/>
      <c r="I229" s="28"/>
      <c r="J229" s="28"/>
      <c r="N229" s="63"/>
      <c r="O229" s="63"/>
      <c r="P229" s="28"/>
      <c r="AB229" s="28"/>
      <c r="AM229" s="28"/>
      <c r="AQ229" s="4"/>
      <c r="AR229" s="4"/>
    </row>
    <row r="230" spans="7:44" ht="15">
      <c r="G230" s="28"/>
      <c r="H230" s="28"/>
      <c r="I230" s="28"/>
      <c r="J230" s="28"/>
      <c r="N230" s="63"/>
      <c r="O230" s="63"/>
      <c r="P230" s="28"/>
      <c r="AB230" s="28"/>
      <c r="AM230" s="28"/>
      <c r="AQ230" s="4"/>
      <c r="AR230" s="4"/>
    </row>
    <row r="231" spans="7:44" ht="15">
      <c r="G231" s="28"/>
      <c r="H231" s="28"/>
      <c r="I231" s="28"/>
      <c r="J231" s="28"/>
      <c r="N231" s="63"/>
      <c r="O231" s="63"/>
      <c r="P231" s="28"/>
      <c r="AB231" s="28"/>
      <c r="AM231" s="28"/>
      <c r="AQ231" s="4"/>
      <c r="AR231" s="4"/>
    </row>
    <row r="232" spans="7:44" ht="15">
      <c r="G232" s="28"/>
      <c r="H232" s="28"/>
      <c r="I232" s="28"/>
      <c r="J232" s="28"/>
      <c r="N232" s="63"/>
      <c r="O232" s="63"/>
      <c r="P232" s="28"/>
      <c r="AB232" s="28"/>
      <c r="AM232" s="28"/>
      <c r="AQ232" s="4"/>
      <c r="AR232" s="4"/>
    </row>
    <row r="233" spans="7:44" ht="15">
      <c r="G233" s="28"/>
      <c r="H233" s="28"/>
      <c r="I233" s="28"/>
      <c r="J233" s="28"/>
      <c r="N233" s="63"/>
      <c r="O233" s="63"/>
      <c r="P233" s="28"/>
      <c r="AB233" s="28"/>
      <c r="AM233" s="28"/>
      <c r="AQ233" s="4"/>
      <c r="AR233" s="4"/>
    </row>
    <row r="234" spans="7:44" ht="15">
      <c r="G234" s="28"/>
      <c r="H234" s="28"/>
      <c r="I234" s="28"/>
      <c r="J234" s="28"/>
      <c r="N234" s="63"/>
      <c r="O234" s="63"/>
      <c r="P234" s="28"/>
      <c r="AB234" s="28"/>
      <c r="AM234" s="28"/>
      <c r="AQ234" s="4"/>
      <c r="AR234" s="4"/>
    </row>
    <row r="235" spans="7:44" ht="15">
      <c r="G235" s="28"/>
      <c r="H235" s="28"/>
      <c r="I235" s="28"/>
      <c r="J235" s="28"/>
      <c r="N235" s="63"/>
      <c r="O235" s="63"/>
      <c r="P235" s="28"/>
      <c r="AB235" s="28"/>
      <c r="AM235" s="28"/>
      <c r="AQ235" s="4"/>
      <c r="AR235" s="4"/>
    </row>
    <row r="236" spans="7:44" ht="15">
      <c r="G236" s="28"/>
      <c r="H236" s="28"/>
      <c r="I236" s="28"/>
      <c r="J236" s="28"/>
      <c r="N236" s="63"/>
      <c r="O236" s="63"/>
      <c r="P236" s="28"/>
      <c r="AB236" s="28"/>
      <c r="AM236" s="28"/>
      <c r="AQ236" s="4"/>
      <c r="AR236" s="4"/>
    </row>
    <row r="237" spans="7:44" ht="15">
      <c r="G237" s="28"/>
      <c r="H237" s="28"/>
      <c r="I237" s="28"/>
      <c r="J237" s="28"/>
      <c r="N237" s="63"/>
      <c r="O237" s="63"/>
      <c r="P237" s="28"/>
      <c r="AB237" s="28"/>
      <c r="AM237" s="28"/>
      <c r="AQ237" s="4"/>
      <c r="AR237" s="4"/>
    </row>
    <row r="238" spans="7:44" ht="15">
      <c r="G238" s="28"/>
      <c r="H238" s="28"/>
      <c r="I238" s="28"/>
      <c r="J238" s="28"/>
      <c r="N238" s="63"/>
      <c r="O238" s="63"/>
      <c r="P238" s="28"/>
      <c r="AB238" s="28"/>
      <c r="AM238" s="28"/>
      <c r="AQ238" s="4"/>
      <c r="AR238" s="4"/>
    </row>
    <row r="239" spans="7:44" ht="15">
      <c r="G239" s="28"/>
      <c r="H239" s="28"/>
      <c r="I239" s="28"/>
      <c r="J239" s="28"/>
      <c r="N239" s="63"/>
      <c r="O239" s="63"/>
      <c r="P239" s="28"/>
      <c r="AB239" s="28"/>
      <c r="AM239" s="28"/>
      <c r="AQ239" s="4"/>
      <c r="AR239" s="4"/>
    </row>
    <row r="240" spans="7:44" ht="15">
      <c r="G240" s="28"/>
      <c r="H240" s="28"/>
      <c r="I240" s="28"/>
      <c r="J240" s="28"/>
      <c r="N240" s="63"/>
      <c r="O240" s="63"/>
      <c r="P240" s="28"/>
      <c r="AB240" s="28"/>
      <c r="AM240" s="28"/>
      <c r="AQ240" s="4"/>
      <c r="AR240" s="4"/>
    </row>
    <row r="241" spans="7:44" ht="15">
      <c r="G241" s="28"/>
      <c r="H241" s="28"/>
      <c r="I241" s="28"/>
      <c r="J241" s="28"/>
      <c r="N241" s="63"/>
      <c r="O241" s="63"/>
      <c r="P241" s="28"/>
      <c r="AB241" s="28"/>
      <c r="AM241" s="28"/>
      <c r="AQ241" s="4"/>
      <c r="AR241" s="4"/>
    </row>
    <row r="242" spans="7:44" ht="15">
      <c r="G242" s="28"/>
      <c r="H242" s="28"/>
      <c r="I242" s="28"/>
      <c r="J242" s="28"/>
      <c r="N242" s="63"/>
      <c r="O242" s="63"/>
      <c r="P242" s="28"/>
      <c r="AB242" s="28"/>
      <c r="AM242" s="28"/>
      <c r="AQ242" s="4"/>
      <c r="AR242" s="4"/>
    </row>
    <row r="243" spans="7:44" ht="15">
      <c r="G243" s="28"/>
      <c r="H243" s="28"/>
      <c r="I243" s="28"/>
      <c r="J243" s="28"/>
      <c r="N243" s="63"/>
      <c r="O243" s="63"/>
      <c r="P243" s="28"/>
      <c r="AB243" s="28"/>
      <c r="AM243" s="28"/>
      <c r="AQ243" s="4"/>
      <c r="AR243" s="4"/>
    </row>
    <row r="244" spans="7:44" ht="15">
      <c r="G244" s="28"/>
      <c r="H244" s="28"/>
      <c r="I244" s="28"/>
      <c r="J244" s="28"/>
      <c r="N244" s="63"/>
      <c r="O244" s="63"/>
      <c r="P244" s="28"/>
      <c r="AB244" s="28"/>
      <c r="AM244" s="28"/>
      <c r="AQ244" s="4"/>
      <c r="AR244" s="4"/>
    </row>
    <row r="245" spans="7:44" ht="15">
      <c r="G245" s="28"/>
      <c r="H245" s="28"/>
      <c r="I245" s="28"/>
      <c r="J245" s="28"/>
      <c r="N245" s="63"/>
      <c r="O245" s="63"/>
      <c r="P245" s="28"/>
      <c r="AB245" s="28"/>
      <c r="AM245" s="28"/>
      <c r="AQ245" s="4"/>
      <c r="AR245" s="4"/>
    </row>
    <row r="246" spans="7:44" ht="15">
      <c r="G246" s="28"/>
      <c r="H246" s="28"/>
      <c r="I246" s="28"/>
      <c r="J246" s="28"/>
      <c r="N246" s="63"/>
      <c r="O246" s="63"/>
      <c r="P246" s="28"/>
      <c r="AB246" s="28"/>
      <c r="AM246" s="28"/>
      <c r="AQ246" s="4"/>
      <c r="AR246" s="4"/>
    </row>
    <row r="247" spans="7:44" ht="15">
      <c r="G247" s="28"/>
      <c r="H247" s="28"/>
      <c r="I247" s="28"/>
      <c r="J247" s="28"/>
      <c r="N247" s="63"/>
      <c r="O247" s="63"/>
      <c r="P247" s="28"/>
      <c r="AB247" s="28"/>
      <c r="AM247" s="28"/>
      <c r="AQ247" s="4"/>
      <c r="AR247" s="4"/>
    </row>
    <row r="248" spans="7:44" ht="15">
      <c r="G248" s="28"/>
      <c r="H248" s="28"/>
      <c r="I248" s="28"/>
      <c r="J248" s="28"/>
      <c r="N248" s="63"/>
      <c r="O248" s="63"/>
      <c r="P248" s="28"/>
      <c r="AB248" s="28"/>
      <c r="AM248" s="28"/>
      <c r="AQ248" s="4"/>
      <c r="AR248" s="4"/>
    </row>
    <row r="249" spans="7:44" ht="15">
      <c r="G249" s="28"/>
      <c r="H249" s="28"/>
      <c r="I249" s="28"/>
      <c r="J249" s="28"/>
      <c r="N249" s="63"/>
      <c r="O249" s="63"/>
      <c r="P249" s="28"/>
      <c r="AB249" s="28"/>
      <c r="AM249" s="28"/>
      <c r="AQ249" s="4"/>
      <c r="AR249" s="4"/>
    </row>
    <row r="250" spans="7:44" ht="15">
      <c r="G250" s="28"/>
      <c r="H250" s="28"/>
      <c r="I250" s="28"/>
      <c r="J250" s="28"/>
      <c r="N250" s="63"/>
      <c r="O250" s="63"/>
      <c r="P250" s="28"/>
      <c r="AB250" s="28"/>
      <c r="AM250" s="28"/>
      <c r="AQ250" s="4"/>
      <c r="AR250" s="4"/>
    </row>
    <row r="251" spans="7:44" ht="15">
      <c r="G251" s="28"/>
      <c r="H251" s="28"/>
      <c r="I251" s="28"/>
      <c r="J251" s="28"/>
      <c r="N251" s="63"/>
      <c r="O251" s="63"/>
      <c r="P251" s="28"/>
      <c r="AB251" s="28"/>
      <c r="AM251" s="28"/>
      <c r="AQ251" s="4"/>
      <c r="AR251" s="4"/>
    </row>
    <row r="252" spans="7:44" ht="15">
      <c r="G252" s="28"/>
      <c r="H252" s="28"/>
      <c r="I252" s="28"/>
      <c r="J252" s="28"/>
      <c r="N252" s="63"/>
      <c r="O252" s="63"/>
      <c r="P252" s="28"/>
      <c r="AB252" s="28"/>
      <c r="AM252" s="28"/>
      <c r="AQ252" s="4"/>
      <c r="AR252" s="4"/>
    </row>
    <row r="253" spans="7:44" ht="15">
      <c r="G253" s="28"/>
      <c r="H253" s="28"/>
      <c r="I253" s="28"/>
      <c r="J253" s="28"/>
      <c r="N253" s="63"/>
      <c r="O253" s="63"/>
      <c r="P253" s="28"/>
      <c r="AB253" s="28"/>
      <c r="AM253" s="28"/>
      <c r="AQ253" s="4"/>
      <c r="AR253" s="4"/>
    </row>
    <row r="254" spans="7:44" ht="15">
      <c r="G254" s="28"/>
      <c r="H254" s="28"/>
      <c r="I254" s="28"/>
      <c r="J254" s="28"/>
      <c r="N254" s="63"/>
      <c r="O254" s="63"/>
      <c r="P254" s="28"/>
      <c r="AB254" s="28"/>
      <c r="AM254" s="28"/>
      <c r="AQ254" s="4"/>
      <c r="AR254" s="4"/>
    </row>
    <row r="255" spans="7:44" ht="15">
      <c r="G255" s="28"/>
      <c r="H255" s="28"/>
      <c r="I255" s="28"/>
      <c r="J255" s="28"/>
      <c r="N255" s="63"/>
      <c r="O255" s="63"/>
      <c r="P255" s="28"/>
      <c r="AB255" s="28"/>
      <c r="AM255" s="28"/>
      <c r="AQ255" s="4"/>
      <c r="AR255" s="4"/>
    </row>
    <row r="256" spans="7:44" ht="15">
      <c r="G256" s="28"/>
      <c r="H256" s="28"/>
      <c r="I256" s="28"/>
      <c r="J256" s="28"/>
      <c r="N256" s="63"/>
      <c r="O256" s="63"/>
      <c r="P256" s="28"/>
      <c r="AB256" s="28"/>
      <c r="AM256" s="28"/>
      <c r="AQ256" s="4"/>
      <c r="AR256" s="4"/>
    </row>
    <row r="257" spans="7:44" ht="15">
      <c r="G257" s="28"/>
      <c r="H257" s="28"/>
      <c r="I257" s="28"/>
      <c r="J257" s="28"/>
      <c r="N257" s="63"/>
      <c r="O257" s="63"/>
      <c r="P257" s="28"/>
      <c r="AB257" s="28"/>
      <c r="AM257" s="28"/>
      <c r="AQ257" s="4"/>
      <c r="AR257" s="4"/>
    </row>
    <row r="258" spans="7:44" ht="15">
      <c r="G258" s="28"/>
      <c r="H258" s="28"/>
      <c r="I258" s="28"/>
      <c r="J258" s="28"/>
      <c r="N258" s="63"/>
      <c r="O258" s="63"/>
      <c r="P258" s="28"/>
      <c r="AB258" s="28"/>
      <c r="AM258" s="28"/>
      <c r="AQ258" s="4"/>
      <c r="AR258" s="4"/>
    </row>
    <row r="259" spans="7:44" ht="15">
      <c r="G259" s="28"/>
      <c r="H259" s="28"/>
      <c r="I259" s="28"/>
      <c r="J259" s="28"/>
      <c r="N259" s="63"/>
      <c r="O259" s="63"/>
      <c r="P259" s="28"/>
      <c r="AB259" s="28"/>
      <c r="AM259" s="28"/>
      <c r="AQ259" s="4"/>
      <c r="AR259" s="4"/>
    </row>
    <row r="260" spans="7:44" ht="15">
      <c r="G260" s="28"/>
      <c r="H260" s="28"/>
      <c r="I260" s="28"/>
      <c r="J260" s="28"/>
      <c r="N260" s="63"/>
      <c r="O260" s="63"/>
      <c r="P260" s="28"/>
      <c r="AB260" s="28"/>
      <c r="AM260" s="28"/>
      <c r="AQ260" s="4"/>
      <c r="AR260" s="4"/>
    </row>
    <row r="261" spans="7:44" ht="15">
      <c r="G261" s="28"/>
      <c r="H261" s="28"/>
      <c r="I261" s="28"/>
      <c r="J261" s="28"/>
      <c r="N261" s="63"/>
      <c r="O261" s="63"/>
      <c r="P261" s="28"/>
      <c r="AB261" s="28"/>
      <c r="AM261" s="28"/>
      <c r="AQ261" s="4"/>
      <c r="AR261" s="4"/>
    </row>
    <row r="262" spans="7:44" ht="15">
      <c r="G262" s="28"/>
      <c r="H262" s="28"/>
      <c r="I262" s="28"/>
      <c r="J262" s="28"/>
      <c r="N262" s="63"/>
      <c r="O262" s="63"/>
      <c r="P262" s="28"/>
      <c r="AB262" s="28"/>
      <c r="AM262" s="28"/>
      <c r="AQ262" s="4"/>
      <c r="AR262" s="4"/>
    </row>
    <row r="263" spans="7:44" ht="15">
      <c r="G263" s="28"/>
      <c r="H263" s="28"/>
      <c r="I263" s="28"/>
      <c r="J263" s="28"/>
      <c r="N263" s="63"/>
      <c r="O263" s="63"/>
      <c r="P263" s="28"/>
      <c r="AB263" s="28"/>
      <c r="AM263" s="28"/>
      <c r="AQ263" s="4"/>
      <c r="AR263" s="4"/>
    </row>
    <row r="264" spans="7:44" ht="15">
      <c r="G264" s="28"/>
      <c r="H264" s="28"/>
      <c r="I264" s="28"/>
      <c r="J264" s="28"/>
      <c r="N264" s="63"/>
      <c r="O264" s="63"/>
      <c r="P264" s="28"/>
      <c r="AB264" s="28"/>
      <c r="AM264" s="28"/>
      <c r="AQ264" s="4"/>
      <c r="AR264" s="4"/>
    </row>
    <row r="265" spans="7:44" ht="15">
      <c r="G265" s="28"/>
      <c r="H265" s="28"/>
      <c r="I265" s="28"/>
      <c r="J265" s="28"/>
      <c r="N265" s="63"/>
      <c r="O265" s="63"/>
      <c r="P265" s="28"/>
      <c r="AB265" s="28"/>
      <c r="AM265" s="28"/>
      <c r="AQ265" s="4"/>
      <c r="AR265" s="4"/>
    </row>
    <row r="266" spans="7:44" ht="15">
      <c r="G266" s="28"/>
      <c r="H266" s="28"/>
      <c r="I266" s="28"/>
      <c r="J266" s="28"/>
      <c r="N266" s="63"/>
      <c r="O266" s="63"/>
      <c r="P266" s="28"/>
      <c r="AB266" s="28"/>
      <c r="AM266" s="28"/>
      <c r="AQ266" s="4"/>
      <c r="AR266" s="4"/>
    </row>
    <row r="267" spans="7:44" ht="15">
      <c r="G267" s="28"/>
      <c r="H267" s="28"/>
      <c r="I267" s="28"/>
      <c r="J267" s="28"/>
      <c r="N267" s="63"/>
      <c r="O267" s="63"/>
      <c r="P267" s="28"/>
      <c r="AB267" s="28"/>
      <c r="AM267" s="28"/>
      <c r="AQ267" s="4"/>
      <c r="AR267" s="4"/>
    </row>
    <row r="268" spans="7:44" ht="15">
      <c r="G268" s="28"/>
      <c r="H268" s="28"/>
      <c r="I268" s="28"/>
      <c r="J268" s="28"/>
      <c r="N268" s="63"/>
      <c r="O268" s="63"/>
      <c r="P268" s="28"/>
      <c r="AB268" s="28"/>
      <c r="AM268" s="28"/>
      <c r="AQ268" s="4"/>
      <c r="AR268" s="4"/>
    </row>
    <row r="269" spans="7:44" ht="15">
      <c r="G269" s="28"/>
      <c r="H269" s="28"/>
      <c r="I269" s="28"/>
      <c r="J269" s="28"/>
      <c r="N269" s="63"/>
      <c r="O269" s="63"/>
      <c r="P269" s="28"/>
      <c r="AB269" s="28"/>
      <c r="AM269" s="28"/>
      <c r="AQ269" s="4"/>
      <c r="AR269" s="4"/>
    </row>
    <row r="270" spans="7:44" ht="15">
      <c r="G270" s="28"/>
      <c r="H270" s="28"/>
      <c r="I270" s="28"/>
      <c r="J270" s="28"/>
      <c r="N270" s="63"/>
      <c r="O270" s="63"/>
      <c r="P270" s="28"/>
      <c r="AB270" s="28"/>
      <c r="AM270" s="28"/>
      <c r="AQ270" s="4"/>
      <c r="AR270" s="4"/>
    </row>
    <row r="271" spans="7:44" ht="15">
      <c r="G271" s="28"/>
      <c r="H271" s="28"/>
      <c r="I271" s="28"/>
      <c r="J271" s="28"/>
      <c r="N271" s="63"/>
      <c r="O271" s="63"/>
      <c r="P271" s="28"/>
      <c r="AB271" s="28"/>
      <c r="AM271" s="28"/>
      <c r="AQ271" s="4"/>
      <c r="AR271" s="4"/>
    </row>
    <row r="272" spans="7:44" ht="15">
      <c r="G272" s="28"/>
      <c r="H272" s="28"/>
      <c r="I272" s="28"/>
      <c r="J272" s="28"/>
      <c r="N272" s="63"/>
      <c r="O272" s="63"/>
      <c r="P272" s="28"/>
      <c r="AB272" s="28"/>
      <c r="AM272" s="28"/>
      <c r="AQ272" s="4"/>
      <c r="AR272" s="4"/>
    </row>
    <row r="273" spans="7:44" ht="15">
      <c r="G273" s="28"/>
      <c r="H273" s="28"/>
      <c r="I273" s="28"/>
      <c r="J273" s="28"/>
      <c r="N273" s="63"/>
      <c r="O273" s="63"/>
      <c r="P273" s="28"/>
      <c r="AB273" s="28"/>
      <c r="AM273" s="28"/>
      <c r="AQ273" s="4"/>
      <c r="AR273" s="4"/>
    </row>
    <row r="274" spans="7:44" ht="15">
      <c r="G274" s="28"/>
      <c r="H274" s="28"/>
      <c r="I274" s="28"/>
      <c r="J274" s="28"/>
      <c r="N274" s="63"/>
      <c r="O274" s="63"/>
      <c r="P274" s="28"/>
      <c r="AB274" s="28"/>
      <c r="AM274" s="28"/>
      <c r="AQ274" s="4"/>
      <c r="AR274" s="4"/>
    </row>
    <row r="275" spans="7:44" ht="15">
      <c r="G275" s="28"/>
      <c r="H275" s="28"/>
      <c r="I275" s="28"/>
      <c r="J275" s="28"/>
      <c r="N275" s="63"/>
      <c r="O275" s="63"/>
      <c r="P275" s="28"/>
      <c r="AB275" s="28"/>
      <c r="AM275" s="28"/>
      <c r="AQ275" s="4"/>
      <c r="AR275" s="4"/>
    </row>
    <row r="276" spans="7:44" ht="15">
      <c r="G276" s="28"/>
      <c r="H276" s="28"/>
      <c r="I276" s="28"/>
      <c r="J276" s="28"/>
      <c r="N276" s="63"/>
      <c r="O276" s="63"/>
      <c r="P276" s="28"/>
      <c r="AB276" s="28"/>
      <c r="AM276" s="28"/>
      <c r="AQ276" s="4"/>
      <c r="AR276" s="4"/>
    </row>
    <row r="277" spans="7:44" ht="15">
      <c r="G277" s="28"/>
      <c r="H277" s="28"/>
      <c r="I277" s="28"/>
      <c r="J277" s="28"/>
      <c r="N277" s="63"/>
      <c r="O277" s="63"/>
      <c r="P277" s="28"/>
      <c r="AB277" s="28"/>
      <c r="AM277" s="28"/>
      <c r="AQ277" s="4"/>
      <c r="AR277" s="4"/>
    </row>
    <row r="278" spans="7:44" ht="15">
      <c r="G278" s="28"/>
      <c r="H278" s="28"/>
      <c r="I278" s="28"/>
      <c r="J278" s="28"/>
      <c r="N278" s="63"/>
      <c r="O278" s="63"/>
      <c r="P278" s="28"/>
      <c r="AB278" s="28"/>
      <c r="AM278" s="28"/>
      <c r="AQ278" s="4"/>
      <c r="AR278" s="4"/>
    </row>
    <row r="279" spans="7:44" ht="15">
      <c r="G279" s="28"/>
      <c r="H279" s="28"/>
      <c r="I279" s="28"/>
      <c r="J279" s="28"/>
      <c r="N279" s="63"/>
      <c r="O279" s="63"/>
      <c r="P279" s="28"/>
      <c r="AB279" s="28"/>
      <c r="AM279" s="28"/>
      <c r="AQ279" s="4"/>
      <c r="AR279" s="4"/>
    </row>
    <row r="280" spans="7:44" ht="15">
      <c r="G280" s="28"/>
      <c r="H280" s="28"/>
      <c r="I280" s="28"/>
      <c r="J280" s="28"/>
      <c r="N280" s="63"/>
      <c r="O280" s="63"/>
      <c r="P280" s="28"/>
      <c r="AB280" s="28"/>
      <c r="AM280" s="28"/>
      <c r="AQ280" s="4"/>
      <c r="AR280" s="4"/>
    </row>
    <row r="281" spans="7:44" ht="15">
      <c r="G281" s="28"/>
      <c r="H281" s="28"/>
      <c r="I281" s="28"/>
      <c r="J281" s="28"/>
      <c r="N281" s="63"/>
      <c r="O281" s="63"/>
      <c r="P281" s="28"/>
      <c r="AB281" s="28"/>
      <c r="AM281" s="28"/>
      <c r="AQ281" s="4"/>
      <c r="AR281" s="4"/>
    </row>
    <row r="282" spans="7:44" ht="15">
      <c r="G282" s="28"/>
      <c r="H282" s="28"/>
      <c r="I282" s="28"/>
      <c r="J282" s="28"/>
      <c r="N282" s="63"/>
      <c r="O282" s="63"/>
      <c r="P282" s="28"/>
      <c r="AB282" s="28"/>
      <c r="AM282" s="28"/>
      <c r="AQ282" s="4"/>
      <c r="AR282" s="4"/>
    </row>
    <row r="283" spans="7:44" ht="15">
      <c r="G283" s="28"/>
      <c r="H283" s="28"/>
      <c r="I283" s="28"/>
      <c r="J283" s="28"/>
      <c r="N283" s="63"/>
      <c r="O283" s="63"/>
      <c r="P283" s="28"/>
      <c r="AB283" s="28"/>
      <c r="AM283" s="28"/>
      <c r="AQ283" s="4"/>
      <c r="AR283" s="4"/>
    </row>
    <row r="284" spans="7:44" ht="15">
      <c r="G284" s="28"/>
      <c r="H284" s="28"/>
      <c r="I284" s="28"/>
      <c r="J284" s="28"/>
      <c r="N284" s="63"/>
      <c r="O284" s="63"/>
      <c r="P284" s="28"/>
      <c r="AB284" s="28"/>
      <c r="AM284" s="28"/>
      <c r="AQ284" s="4"/>
      <c r="AR284" s="4"/>
    </row>
    <row r="285" spans="7:44" ht="15">
      <c r="G285" s="28"/>
      <c r="H285" s="28"/>
      <c r="I285" s="28"/>
      <c r="J285" s="28"/>
      <c r="N285" s="63"/>
      <c r="O285" s="63"/>
      <c r="P285" s="28"/>
      <c r="AB285" s="28"/>
      <c r="AM285" s="28"/>
      <c r="AQ285" s="4"/>
      <c r="AR285" s="4"/>
    </row>
    <row r="286" spans="7:44" ht="15">
      <c r="G286" s="28"/>
      <c r="H286" s="28"/>
      <c r="I286" s="28"/>
      <c r="J286" s="28"/>
      <c r="N286" s="63"/>
      <c r="O286" s="63"/>
      <c r="P286" s="28"/>
      <c r="AB286" s="28"/>
      <c r="AM286" s="28"/>
      <c r="AQ286" s="4"/>
      <c r="AR286" s="4"/>
    </row>
    <row r="287" spans="7:44" ht="15">
      <c r="G287" s="28"/>
      <c r="H287" s="28"/>
      <c r="I287" s="28"/>
      <c r="J287" s="28"/>
      <c r="N287" s="63"/>
      <c r="O287" s="63"/>
      <c r="P287" s="28"/>
      <c r="AB287" s="28"/>
      <c r="AM287" s="28"/>
      <c r="AQ287" s="4"/>
      <c r="AR287" s="4"/>
    </row>
    <row r="288" spans="7:44" ht="15">
      <c r="G288" s="28"/>
      <c r="H288" s="28"/>
      <c r="I288" s="28"/>
      <c r="J288" s="28"/>
      <c r="N288" s="63"/>
      <c r="O288" s="63"/>
      <c r="P288" s="28"/>
      <c r="AB288" s="28"/>
      <c r="AM288" s="28"/>
      <c r="AQ288" s="4"/>
      <c r="AR288" s="4"/>
    </row>
    <row r="289" spans="7:44" ht="15">
      <c r="G289" s="28"/>
      <c r="H289" s="28"/>
      <c r="I289" s="28"/>
      <c r="J289" s="28"/>
      <c r="N289" s="63"/>
      <c r="O289" s="63"/>
      <c r="P289" s="28"/>
      <c r="AB289" s="28"/>
      <c r="AM289" s="28"/>
      <c r="AQ289" s="4"/>
      <c r="AR289" s="4"/>
    </row>
    <row r="290" spans="7:44" ht="15">
      <c r="G290" s="28"/>
      <c r="H290" s="28"/>
      <c r="I290" s="28"/>
      <c r="J290" s="28"/>
      <c r="N290" s="63"/>
      <c r="O290" s="63"/>
      <c r="P290" s="28"/>
      <c r="AB290" s="28"/>
      <c r="AM290" s="28"/>
      <c r="AQ290" s="4"/>
      <c r="AR290" s="4"/>
    </row>
    <row r="291" spans="7:44" ht="15">
      <c r="G291" s="28"/>
      <c r="H291" s="28"/>
      <c r="I291" s="28"/>
      <c r="J291" s="28"/>
      <c r="N291" s="63"/>
      <c r="O291" s="63"/>
      <c r="P291" s="28"/>
      <c r="AB291" s="28"/>
      <c r="AM291" s="28"/>
      <c r="AQ291" s="4"/>
      <c r="AR291" s="4"/>
    </row>
    <row r="292" spans="7:44" ht="15">
      <c r="G292" s="28"/>
      <c r="H292" s="28"/>
      <c r="I292" s="28"/>
      <c r="J292" s="28"/>
      <c r="N292" s="63"/>
      <c r="O292" s="63"/>
      <c r="P292" s="28"/>
      <c r="AB292" s="28"/>
      <c r="AM292" s="28"/>
      <c r="AQ292" s="4"/>
      <c r="AR292" s="4"/>
    </row>
    <row r="293" spans="7:44" ht="15">
      <c r="G293" s="28"/>
      <c r="H293" s="28"/>
      <c r="I293" s="28"/>
      <c r="J293" s="28"/>
      <c r="N293" s="63"/>
      <c r="O293" s="63"/>
      <c r="P293" s="28"/>
      <c r="AB293" s="28"/>
      <c r="AM293" s="28"/>
      <c r="AQ293" s="4"/>
      <c r="AR293" s="4"/>
    </row>
    <row r="294" spans="7:44" ht="15">
      <c r="G294" s="28"/>
      <c r="H294" s="28"/>
      <c r="I294" s="28"/>
      <c r="J294" s="28"/>
      <c r="N294" s="63"/>
      <c r="O294" s="63"/>
      <c r="P294" s="28"/>
      <c r="AB294" s="28"/>
      <c r="AM294" s="28"/>
      <c r="AQ294" s="4"/>
      <c r="AR294" s="4"/>
    </row>
    <row r="295" spans="7:44" ht="15">
      <c r="G295" s="28"/>
      <c r="H295" s="28"/>
      <c r="I295" s="28"/>
      <c r="J295" s="28"/>
      <c r="N295" s="63"/>
      <c r="O295" s="63"/>
      <c r="P295" s="28"/>
      <c r="AB295" s="28"/>
      <c r="AM295" s="28"/>
      <c r="AQ295" s="4"/>
      <c r="AR295" s="4"/>
    </row>
    <row r="296" spans="7:44" ht="15">
      <c r="G296" s="28"/>
      <c r="H296" s="28"/>
      <c r="I296" s="28"/>
      <c r="J296" s="28"/>
      <c r="N296" s="63"/>
      <c r="O296" s="63"/>
      <c r="P296" s="28"/>
      <c r="AB296" s="28"/>
      <c r="AM296" s="28"/>
      <c r="AQ296" s="4"/>
      <c r="AR296" s="4"/>
    </row>
    <row r="297" spans="7:44" ht="15">
      <c r="G297" s="28"/>
      <c r="H297" s="28"/>
      <c r="I297" s="28"/>
      <c r="J297" s="28"/>
      <c r="N297" s="63"/>
      <c r="O297" s="63"/>
      <c r="P297" s="28"/>
      <c r="AB297" s="28"/>
      <c r="AM297" s="28"/>
      <c r="AQ297" s="4"/>
      <c r="AR297" s="4"/>
    </row>
    <row r="298" spans="7:44" ht="15">
      <c r="G298" s="28"/>
      <c r="H298" s="28"/>
      <c r="I298" s="28"/>
      <c r="J298" s="28"/>
      <c r="N298" s="63"/>
      <c r="O298" s="63"/>
      <c r="P298" s="28"/>
      <c r="AB298" s="28"/>
      <c r="AM298" s="28"/>
      <c r="AQ298" s="4"/>
      <c r="AR298" s="4"/>
    </row>
    <row r="299" spans="7:44" ht="15">
      <c r="G299" s="28"/>
      <c r="H299" s="28"/>
      <c r="I299" s="28"/>
      <c r="J299" s="28"/>
      <c r="N299" s="63"/>
      <c r="O299" s="63"/>
      <c r="P299" s="28"/>
      <c r="AB299" s="28"/>
      <c r="AM299" s="28"/>
      <c r="AQ299" s="4"/>
      <c r="AR299" s="4"/>
    </row>
    <row r="300" spans="7:44" ht="15">
      <c r="G300" s="28"/>
      <c r="H300" s="28"/>
      <c r="I300" s="28"/>
      <c r="J300" s="28"/>
      <c r="N300" s="63"/>
      <c r="O300" s="63"/>
      <c r="P300" s="28"/>
      <c r="AB300" s="28"/>
      <c r="AM300" s="28"/>
      <c r="AQ300" s="4"/>
      <c r="AR300" s="4"/>
    </row>
    <row r="301" spans="7:44" ht="15">
      <c r="G301" s="28"/>
      <c r="H301" s="28"/>
      <c r="I301" s="28"/>
      <c r="J301" s="28"/>
      <c r="N301" s="63"/>
      <c r="O301" s="63"/>
      <c r="P301" s="28"/>
      <c r="AB301" s="28"/>
      <c r="AM301" s="28"/>
      <c r="AQ301" s="4"/>
      <c r="AR301" s="4"/>
    </row>
    <row r="302" spans="7:44" ht="15">
      <c r="G302" s="28"/>
      <c r="H302" s="28"/>
      <c r="I302" s="28"/>
      <c r="J302" s="28"/>
      <c r="N302" s="63"/>
      <c r="O302" s="63"/>
      <c r="P302" s="28"/>
      <c r="AB302" s="28"/>
      <c r="AM302" s="28"/>
      <c r="AQ302" s="4"/>
      <c r="AR302" s="4"/>
    </row>
    <row r="303" spans="7:44" ht="15">
      <c r="G303" s="28"/>
      <c r="H303" s="28"/>
      <c r="I303" s="28"/>
      <c r="J303" s="28"/>
      <c r="N303" s="63"/>
      <c r="O303" s="63"/>
      <c r="P303" s="28"/>
      <c r="AB303" s="28"/>
      <c r="AM303" s="28"/>
      <c r="AQ303" s="4"/>
      <c r="AR303" s="4"/>
    </row>
    <row r="304" spans="7:44" ht="15">
      <c r="G304" s="28"/>
      <c r="H304" s="28"/>
      <c r="I304" s="28"/>
      <c r="J304" s="28"/>
      <c r="N304" s="63"/>
      <c r="O304" s="63"/>
      <c r="P304" s="28"/>
      <c r="AB304" s="28"/>
      <c r="AM304" s="28"/>
      <c r="AQ304" s="4"/>
      <c r="AR304" s="4"/>
    </row>
    <row r="305" spans="7:44" ht="15">
      <c r="G305" s="28"/>
      <c r="H305" s="28"/>
      <c r="I305" s="28"/>
      <c r="J305" s="28"/>
      <c r="N305" s="63"/>
      <c r="O305" s="63"/>
      <c r="P305" s="28"/>
      <c r="AB305" s="28"/>
      <c r="AM305" s="28"/>
      <c r="AQ305" s="4"/>
      <c r="AR305" s="4"/>
    </row>
    <row r="306" spans="7:44" ht="15">
      <c r="G306" s="28"/>
      <c r="H306" s="28"/>
      <c r="I306" s="28"/>
      <c r="J306" s="28"/>
      <c r="N306" s="63"/>
      <c r="O306" s="63"/>
      <c r="P306" s="28"/>
      <c r="AB306" s="28"/>
      <c r="AM306" s="28"/>
      <c r="AQ306" s="4"/>
      <c r="AR306" s="4"/>
    </row>
    <row r="307" spans="7:44" ht="15">
      <c r="G307" s="28"/>
      <c r="H307" s="28"/>
      <c r="I307" s="28"/>
      <c r="J307" s="28"/>
      <c r="N307" s="63"/>
      <c r="O307" s="63"/>
      <c r="P307" s="28"/>
      <c r="AB307" s="28"/>
      <c r="AM307" s="28"/>
      <c r="AQ307" s="4"/>
      <c r="AR307" s="4"/>
    </row>
    <row r="308" spans="7:44" ht="15">
      <c r="G308" s="28"/>
      <c r="H308" s="28"/>
      <c r="I308" s="28"/>
      <c r="J308" s="28"/>
      <c r="N308" s="63"/>
      <c r="O308" s="63"/>
      <c r="P308" s="28"/>
      <c r="AB308" s="28"/>
      <c r="AM308" s="28"/>
      <c r="AQ308" s="4"/>
      <c r="AR308" s="4"/>
    </row>
    <row r="309" spans="7:44" ht="15">
      <c r="G309" s="28"/>
      <c r="H309" s="28"/>
      <c r="I309" s="28"/>
      <c r="J309" s="28"/>
      <c r="N309" s="63"/>
      <c r="O309" s="63"/>
      <c r="P309" s="28"/>
      <c r="AB309" s="28"/>
      <c r="AM309" s="28"/>
      <c r="AQ309" s="4"/>
      <c r="AR309" s="4"/>
    </row>
    <row r="310" spans="7:44" ht="15">
      <c r="G310" s="28"/>
      <c r="H310" s="28"/>
      <c r="I310" s="28"/>
      <c r="J310" s="28"/>
      <c r="N310" s="63"/>
      <c r="O310" s="63"/>
      <c r="P310" s="28"/>
      <c r="AB310" s="28"/>
      <c r="AM310" s="28"/>
      <c r="AQ310" s="4"/>
      <c r="AR310" s="4"/>
    </row>
    <row r="311" spans="7:44" ht="15">
      <c r="G311" s="28"/>
      <c r="H311" s="28"/>
      <c r="I311" s="28"/>
      <c r="J311" s="28"/>
      <c r="N311" s="63"/>
      <c r="O311" s="63"/>
      <c r="P311" s="28"/>
      <c r="AB311" s="28"/>
      <c r="AM311" s="28"/>
      <c r="AQ311" s="4"/>
      <c r="AR311" s="4"/>
    </row>
    <row r="312" spans="7:44" ht="15">
      <c r="G312" s="28"/>
      <c r="H312" s="28"/>
      <c r="I312" s="28"/>
      <c r="J312" s="28"/>
      <c r="N312" s="63"/>
      <c r="O312" s="63"/>
      <c r="P312" s="28"/>
      <c r="AB312" s="28"/>
      <c r="AM312" s="28"/>
      <c r="AQ312" s="4"/>
      <c r="AR312" s="4"/>
    </row>
    <row r="313" spans="7:44" ht="15">
      <c r="G313" s="28"/>
      <c r="H313" s="28"/>
      <c r="I313" s="28"/>
      <c r="J313" s="28"/>
      <c r="N313" s="63"/>
      <c r="O313" s="63"/>
      <c r="P313" s="28"/>
      <c r="AB313" s="28"/>
      <c r="AM313" s="28"/>
      <c r="AQ313" s="4"/>
      <c r="AR313" s="4"/>
    </row>
    <row r="314" spans="7:44" ht="15">
      <c r="G314" s="28"/>
      <c r="H314" s="28"/>
      <c r="I314" s="28"/>
      <c r="J314" s="28"/>
      <c r="N314" s="63"/>
      <c r="O314" s="63"/>
      <c r="P314" s="28"/>
      <c r="AB314" s="28"/>
      <c r="AM314" s="28"/>
      <c r="AQ314" s="4"/>
      <c r="AR314" s="4"/>
    </row>
    <row r="315" spans="7:44" ht="15">
      <c r="G315" s="28"/>
      <c r="H315" s="28"/>
      <c r="I315" s="28"/>
      <c r="J315" s="28"/>
      <c r="N315" s="63"/>
      <c r="O315" s="63"/>
      <c r="P315" s="28"/>
      <c r="AB315" s="28"/>
      <c r="AM315" s="28"/>
      <c r="AQ315" s="4"/>
      <c r="AR315" s="4"/>
    </row>
    <row r="316" spans="7:44" ht="15">
      <c r="G316" s="28"/>
      <c r="H316" s="28"/>
      <c r="I316" s="28"/>
      <c r="J316" s="28"/>
      <c r="N316" s="63"/>
      <c r="O316" s="63"/>
      <c r="P316" s="28"/>
      <c r="AB316" s="28"/>
      <c r="AM316" s="28"/>
      <c r="AQ316" s="4"/>
      <c r="AR316" s="4"/>
    </row>
    <row r="317" spans="7:44" ht="15">
      <c r="G317" s="28"/>
      <c r="H317" s="28"/>
      <c r="I317" s="28"/>
      <c r="J317" s="28"/>
      <c r="N317" s="63"/>
      <c r="O317" s="63"/>
      <c r="P317" s="28"/>
      <c r="AB317" s="28"/>
      <c r="AM317" s="28"/>
      <c r="AQ317" s="4"/>
      <c r="AR317" s="4"/>
    </row>
    <row r="318" spans="7:44" ht="15">
      <c r="G318" s="28"/>
      <c r="H318" s="28"/>
      <c r="I318" s="28"/>
      <c r="J318" s="28"/>
      <c r="N318" s="63"/>
      <c r="O318" s="63"/>
      <c r="P318" s="28"/>
      <c r="AB318" s="28"/>
      <c r="AM318" s="28"/>
      <c r="AQ318" s="4"/>
      <c r="AR318" s="4"/>
    </row>
    <row r="319" spans="7:44" ht="15">
      <c r="G319" s="28"/>
      <c r="H319" s="28"/>
      <c r="I319" s="28"/>
      <c r="J319" s="28"/>
      <c r="N319" s="63"/>
      <c r="O319" s="63"/>
      <c r="P319" s="28"/>
      <c r="AB319" s="28"/>
      <c r="AM319" s="28"/>
      <c r="AQ319" s="4"/>
      <c r="AR319" s="4"/>
    </row>
    <row r="320" spans="7:44" ht="15">
      <c r="G320" s="28"/>
      <c r="H320" s="28"/>
      <c r="I320" s="28"/>
      <c r="J320" s="28"/>
      <c r="N320" s="63"/>
      <c r="O320" s="63"/>
      <c r="P320" s="28"/>
      <c r="AB320" s="28"/>
      <c r="AM320" s="28"/>
      <c r="AQ320" s="4"/>
      <c r="AR320" s="4"/>
    </row>
    <row r="321" spans="7:44" ht="15">
      <c r="G321" s="28"/>
      <c r="H321" s="28"/>
      <c r="I321" s="28"/>
      <c r="J321" s="28"/>
      <c r="N321" s="63"/>
      <c r="O321" s="63"/>
      <c r="P321" s="28"/>
      <c r="AB321" s="28"/>
      <c r="AM321" s="28"/>
      <c r="AQ321" s="4"/>
      <c r="AR321" s="4"/>
    </row>
    <row r="322" spans="7:44" ht="15">
      <c r="G322" s="28"/>
      <c r="H322" s="28"/>
      <c r="I322" s="28"/>
      <c r="J322" s="28"/>
      <c r="N322" s="63"/>
      <c r="O322" s="63"/>
      <c r="P322" s="28"/>
      <c r="AB322" s="28"/>
      <c r="AM322" s="28"/>
      <c r="AQ322" s="4"/>
      <c r="AR322" s="4"/>
    </row>
    <row r="323" spans="7:44" ht="15">
      <c r="G323" s="28"/>
      <c r="H323" s="28"/>
      <c r="I323" s="28"/>
      <c r="J323" s="28"/>
      <c r="N323" s="63"/>
      <c r="O323" s="63"/>
      <c r="P323" s="28"/>
      <c r="AB323" s="28"/>
      <c r="AM323" s="28"/>
      <c r="AQ323" s="4"/>
      <c r="AR323" s="4"/>
    </row>
    <row r="324" spans="7:44" ht="15">
      <c r="G324" s="28"/>
      <c r="H324" s="28"/>
      <c r="I324" s="28"/>
      <c r="J324" s="28"/>
      <c r="N324" s="63"/>
      <c r="O324" s="63"/>
      <c r="P324" s="28"/>
      <c r="AB324" s="28"/>
      <c r="AM324" s="28"/>
      <c r="AQ324" s="4"/>
      <c r="AR324" s="4"/>
    </row>
    <row r="325" spans="7:44" ht="15">
      <c r="G325" s="28"/>
      <c r="H325" s="28"/>
      <c r="I325" s="28"/>
      <c r="J325" s="28"/>
      <c r="N325" s="63"/>
      <c r="O325" s="63"/>
      <c r="P325" s="28"/>
      <c r="AB325" s="28"/>
      <c r="AM325" s="28"/>
      <c r="AQ325" s="4"/>
      <c r="AR325" s="4"/>
    </row>
    <row r="326" spans="7:44" ht="15">
      <c r="G326" s="28"/>
      <c r="H326" s="28"/>
      <c r="I326" s="28"/>
      <c r="J326" s="28"/>
      <c r="N326" s="63"/>
      <c r="O326" s="63"/>
      <c r="P326" s="28"/>
      <c r="AB326" s="28"/>
      <c r="AM326" s="28"/>
      <c r="AQ326" s="4"/>
      <c r="AR326" s="4"/>
    </row>
    <row r="327" spans="7:44" ht="15">
      <c r="G327" s="28"/>
      <c r="H327" s="28"/>
      <c r="I327" s="28"/>
      <c r="J327" s="28"/>
      <c r="N327" s="63"/>
      <c r="O327" s="63"/>
      <c r="P327" s="28"/>
      <c r="AB327" s="28"/>
      <c r="AM327" s="28"/>
      <c r="AQ327" s="4"/>
      <c r="AR327" s="4"/>
    </row>
    <row r="328" spans="7:44" ht="15">
      <c r="G328" s="28"/>
      <c r="H328" s="28"/>
      <c r="I328" s="28"/>
      <c r="J328" s="28"/>
      <c r="N328" s="63"/>
      <c r="O328" s="63"/>
      <c r="P328" s="28"/>
      <c r="AB328" s="28"/>
      <c r="AM328" s="28"/>
      <c r="AQ328" s="4"/>
      <c r="AR328" s="4"/>
    </row>
    <row r="329" spans="7:44" ht="15">
      <c r="G329" s="28"/>
      <c r="H329" s="28"/>
      <c r="I329" s="28"/>
      <c r="J329" s="28"/>
      <c r="N329" s="63"/>
      <c r="O329" s="63"/>
      <c r="P329" s="28"/>
      <c r="AB329" s="28"/>
      <c r="AM329" s="28"/>
      <c r="AQ329" s="4"/>
      <c r="AR329" s="4"/>
    </row>
    <row r="330" spans="7:44" ht="15">
      <c r="G330" s="28"/>
      <c r="H330" s="28"/>
      <c r="I330" s="28"/>
      <c r="J330" s="28"/>
      <c r="N330" s="63"/>
      <c r="O330" s="63"/>
      <c r="P330" s="28"/>
      <c r="AB330" s="28"/>
      <c r="AM330" s="28"/>
      <c r="AQ330" s="4"/>
      <c r="AR330" s="4"/>
    </row>
    <row r="331" spans="7:44" ht="15">
      <c r="G331" s="28"/>
      <c r="H331" s="28"/>
      <c r="I331" s="28"/>
      <c r="J331" s="28"/>
      <c r="N331" s="63"/>
      <c r="O331" s="63"/>
      <c r="P331" s="28"/>
      <c r="AB331" s="28"/>
      <c r="AM331" s="28"/>
      <c r="AQ331" s="4"/>
      <c r="AR331" s="4"/>
    </row>
    <row r="332" spans="7:44" ht="15">
      <c r="G332" s="28"/>
      <c r="H332" s="28"/>
      <c r="I332" s="28"/>
      <c r="J332" s="28"/>
      <c r="N332" s="63"/>
      <c r="O332" s="63"/>
      <c r="P332" s="28"/>
      <c r="AB332" s="28"/>
      <c r="AM332" s="28"/>
      <c r="AQ332" s="4"/>
      <c r="AR332" s="4"/>
    </row>
    <row r="333" spans="7:44" ht="15">
      <c r="G333" s="28"/>
      <c r="H333" s="28"/>
      <c r="I333" s="28"/>
      <c r="J333" s="28"/>
      <c r="N333" s="63"/>
      <c r="O333" s="63"/>
      <c r="P333" s="28"/>
      <c r="AB333" s="28"/>
      <c r="AM333" s="28"/>
      <c r="AQ333" s="4"/>
      <c r="AR333" s="4"/>
    </row>
    <row r="334" spans="7:44" ht="15">
      <c r="G334" s="28"/>
      <c r="H334" s="28"/>
      <c r="I334" s="28"/>
      <c r="J334" s="28"/>
      <c r="N334" s="63"/>
      <c r="O334" s="63"/>
      <c r="P334" s="28"/>
      <c r="AB334" s="28"/>
      <c r="AM334" s="28"/>
      <c r="AQ334" s="4"/>
      <c r="AR334" s="4"/>
    </row>
    <row r="335" spans="7:44" ht="15">
      <c r="G335" s="28"/>
      <c r="H335" s="28"/>
      <c r="I335" s="28"/>
      <c r="J335" s="28"/>
      <c r="N335" s="63"/>
      <c r="O335" s="63"/>
      <c r="P335" s="28"/>
      <c r="AB335" s="28"/>
      <c r="AM335" s="28"/>
      <c r="AQ335" s="4"/>
      <c r="AR335" s="4"/>
    </row>
    <row r="336" spans="7:44" ht="15">
      <c r="G336" s="28"/>
      <c r="H336" s="28"/>
      <c r="I336" s="28"/>
      <c r="J336" s="28"/>
      <c r="N336" s="63"/>
      <c r="O336" s="63"/>
      <c r="P336" s="28"/>
      <c r="AB336" s="28"/>
      <c r="AM336" s="28"/>
      <c r="AQ336" s="4"/>
      <c r="AR336" s="4"/>
    </row>
    <row r="337" spans="7:44" ht="15">
      <c r="G337" s="28"/>
      <c r="H337" s="28"/>
      <c r="I337" s="28"/>
      <c r="J337" s="28"/>
      <c r="N337" s="63"/>
      <c r="O337" s="63"/>
      <c r="P337" s="28"/>
      <c r="AB337" s="28"/>
      <c r="AM337" s="28"/>
      <c r="AQ337" s="4"/>
      <c r="AR337" s="4"/>
    </row>
    <row r="338" spans="7:44" ht="15">
      <c r="G338" s="28"/>
      <c r="H338" s="28"/>
      <c r="I338" s="28"/>
      <c r="J338" s="28"/>
      <c r="N338" s="63"/>
      <c r="O338" s="63"/>
      <c r="P338" s="28"/>
      <c r="AB338" s="28"/>
      <c r="AM338" s="28"/>
      <c r="AQ338" s="4"/>
      <c r="AR338" s="4"/>
    </row>
    <row r="339" spans="7:44" ht="15">
      <c r="G339" s="28"/>
      <c r="H339" s="28"/>
      <c r="I339" s="28"/>
      <c r="J339" s="28"/>
      <c r="N339" s="63"/>
      <c r="O339" s="63"/>
      <c r="P339" s="28"/>
      <c r="AB339" s="28"/>
      <c r="AM339" s="28"/>
      <c r="AQ339" s="4"/>
      <c r="AR339" s="4"/>
    </row>
    <row r="340" spans="7:44" ht="15">
      <c r="G340" s="28"/>
      <c r="H340" s="28"/>
      <c r="I340" s="28"/>
      <c r="J340" s="28"/>
      <c r="N340" s="63"/>
      <c r="O340" s="63"/>
      <c r="P340" s="28"/>
      <c r="AB340" s="28"/>
      <c r="AM340" s="28"/>
      <c r="AQ340" s="4"/>
      <c r="AR340" s="4"/>
    </row>
    <row r="341" spans="7:44" ht="15">
      <c r="G341" s="28"/>
      <c r="H341" s="28"/>
      <c r="I341" s="28"/>
      <c r="J341" s="28"/>
      <c r="N341" s="63"/>
      <c r="O341" s="63"/>
      <c r="P341" s="28"/>
      <c r="AB341" s="28"/>
      <c r="AM341" s="28"/>
      <c r="AQ341" s="4"/>
      <c r="AR341" s="4"/>
    </row>
    <row r="342" spans="7:44" ht="15">
      <c r="G342" s="28"/>
      <c r="H342" s="28"/>
      <c r="I342" s="28"/>
      <c r="J342" s="28"/>
      <c r="N342" s="63"/>
      <c r="O342" s="63"/>
      <c r="P342" s="28"/>
      <c r="AB342" s="28"/>
      <c r="AM342" s="28"/>
      <c r="AQ342" s="4"/>
      <c r="AR342" s="4"/>
    </row>
    <row r="343" spans="7:44" ht="15">
      <c r="G343" s="28"/>
      <c r="H343" s="28"/>
      <c r="I343" s="28"/>
      <c r="J343" s="28"/>
      <c r="N343" s="63"/>
      <c r="O343" s="63"/>
      <c r="P343" s="28"/>
      <c r="AB343" s="28"/>
      <c r="AM343" s="28"/>
      <c r="AQ343" s="4"/>
      <c r="AR343" s="4"/>
    </row>
    <row r="344" spans="7:44" ht="15">
      <c r="G344" s="28"/>
      <c r="H344" s="28"/>
      <c r="I344" s="28"/>
      <c r="J344" s="28"/>
      <c r="N344" s="63"/>
      <c r="O344" s="63"/>
      <c r="P344" s="28"/>
      <c r="AB344" s="28"/>
      <c r="AM344" s="28"/>
      <c r="AQ344" s="4"/>
      <c r="AR344" s="4"/>
    </row>
    <row r="345" spans="7:44" ht="15">
      <c r="G345" s="28"/>
      <c r="H345" s="28"/>
      <c r="I345" s="28"/>
      <c r="J345" s="28"/>
      <c r="N345" s="63"/>
      <c r="O345" s="63"/>
      <c r="P345" s="28"/>
      <c r="AB345" s="28"/>
      <c r="AM345" s="28"/>
      <c r="AQ345" s="4"/>
      <c r="AR345" s="4"/>
    </row>
    <row r="346" spans="7:44" ht="15">
      <c r="G346" s="28"/>
      <c r="H346" s="28"/>
      <c r="I346" s="28"/>
      <c r="J346" s="28"/>
      <c r="N346" s="63"/>
      <c r="O346" s="63"/>
      <c r="P346" s="28"/>
      <c r="AB346" s="28"/>
      <c r="AM346" s="28"/>
      <c r="AQ346" s="4"/>
      <c r="AR346" s="4"/>
    </row>
    <row r="347" spans="7:44" ht="15">
      <c r="G347" s="28"/>
      <c r="H347" s="28"/>
      <c r="I347" s="28"/>
      <c r="J347" s="28"/>
      <c r="N347" s="63"/>
      <c r="O347" s="63"/>
      <c r="P347" s="28"/>
      <c r="AB347" s="28"/>
      <c r="AM347" s="28"/>
      <c r="AQ347" s="4"/>
      <c r="AR347" s="4"/>
    </row>
    <row r="348" spans="7:44" ht="15">
      <c r="G348" s="28"/>
      <c r="H348" s="28"/>
      <c r="I348" s="28"/>
      <c r="J348" s="28"/>
      <c r="N348" s="63"/>
      <c r="O348" s="63"/>
      <c r="P348" s="28"/>
      <c r="AB348" s="28"/>
      <c r="AM348" s="28"/>
      <c r="AQ348" s="4"/>
      <c r="AR348" s="4"/>
    </row>
    <row r="349" spans="7:44" ht="15">
      <c r="G349" s="28"/>
      <c r="H349" s="28"/>
      <c r="I349" s="28"/>
      <c r="J349" s="28"/>
      <c r="N349" s="63"/>
      <c r="O349" s="63"/>
      <c r="P349" s="28"/>
      <c r="AB349" s="28"/>
      <c r="AM349" s="28"/>
      <c r="AQ349" s="4"/>
      <c r="AR349" s="4"/>
    </row>
    <row r="350" spans="7:44" ht="15">
      <c r="G350" s="28"/>
      <c r="H350" s="28"/>
      <c r="I350" s="28"/>
      <c r="J350" s="28"/>
      <c r="N350" s="63"/>
      <c r="O350" s="63"/>
      <c r="P350" s="28"/>
      <c r="AB350" s="28"/>
      <c r="AM350" s="28"/>
      <c r="AQ350" s="4"/>
      <c r="AR350" s="4"/>
    </row>
    <row r="351" spans="7:44" ht="15">
      <c r="G351" s="28"/>
      <c r="H351" s="28"/>
      <c r="I351" s="28"/>
      <c r="J351" s="28"/>
      <c r="N351" s="63"/>
      <c r="O351" s="63"/>
      <c r="P351" s="28"/>
      <c r="AB351" s="28"/>
      <c r="AM351" s="28"/>
      <c r="AQ351" s="4"/>
      <c r="AR351" s="4"/>
    </row>
    <row r="352" spans="7:44" ht="15">
      <c r="G352" s="28"/>
      <c r="H352" s="28"/>
      <c r="I352" s="28"/>
      <c r="J352" s="28"/>
      <c r="N352" s="63"/>
      <c r="O352" s="63"/>
      <c r="P352" s="28"/>
      <c r="AB352" s="28"/>
      <c r="AM352" s="28"/>
      <c r="AQ352" s="4"/>
      <c r="AR352" s="4"/>
    </row>
    <row r="353" spans="7:44" ht="15">
      <c r="G353" s="28"/>
      <c r="H353" s="28"/>
      <c r="I353" s="28"/>
      <c r="J353" s="28"/>
      <c r="N353" s="63"/>
      <c r="O353" s="63"/>
      <c r="P353" s="28"/>
      <c r="AB353" s="28"/>
      <c r="AM353" s="28"/>
      <c r="AQ353" s="4"/>
      <c r="AR353" s="4"/>
    </row>
    <row r="354" spans="7:44" ht="15">
      <c r="G354" s="28"/>
      <c r="H354" s="28"/>
      <c r="I354" s="28"/>
      <c r="J354" s="28"/>
      <c r="N354" s="63"/>
      <c r="O354" s="63"/>
      <c r="P354" s="28"/>
      <c r="AB354" s="28"/>
      <c r="AM354" s="28"/>
      <c r="AQ354" s="4"/>
      <c r="AR354" s="4"/>
    </row>
    <row r="355" spans="7:44" ht="15">
      <c r="G355" s="28"/>
      <c r="H355" s="28"/>
      <c r="I355" s="28"/>
      <c r="J355" s="28"/>
      <c r="N355" s="63"/>
      <c r="O355" s="63"/>
      <c r="P355" s="28"/>
      <c r="AB355" s="28"/>
      <c r="AM355" s="28"/>
      <c r="AQ355" s="4"/>
      <c r="AR355" s="4"/>
    </row>
    <row r="356" spans="7:44" ht="15">
      <c r="G356" s="28"/>
      <c r="H356" s="28"/>
      <c r="I356" s="28"/>
      <c r="J356" s="28"/>
      <c r="N356" s="63"/>
      <c r="O356" s="63"/>
      <c r="P356" s="28"/>
      <c r="AB356" s="28"/>
      <c r="AM356" s="28"/>
      <c r="AQ356" s="4"/>
      <c r="AR356" s="4"/>
    </row>
    <row r="357" spans="7:44" ht="15">
      <c r="G357" s="28"/>
      <c r="H357" s="28"/>
      <c r="I357" s="28"/>
      <c r="J357" s="28"/>
      <c r="N357" s="63"/>
      <c r="O357" s="63"/>
      <c r="P357" s="28"/>
      <c r="AB357" s="28"/>
      <c r="AM357" s="28"/>
      <c r="AQ357" s="4"/>
      <c r="AR357" s="4"/>
    </row>
    <row r="358" spans="7:44" ht="15">
      <c r="G358" s="28"/>
      <c r="H358" s="28"/>
      <c r="I358" s="28"/>
      <c r="J358" s="28"/>
      <c r="N358" s="63"/>
      <c r="O358" s="63"/>
      <c r="P358" s="28"/>
      <c r="AB358" s="28"/>
      <c r="AM358" s="28"/>
      <c r="AQ358" s="4"/>
      <c r="AR358" s="4"/>
    </row>
    <row r="359" spans="7:44" ht="15">
      <c r="G359" s="28"/>
      <c r="H359" s="28"/>
      <c r="I359" s="28"/>
      <c r="J359" s="28"/>
      <c r="N359" s="63"/>
      <c r="O359" s="63"/>
      <c r="P359" s="28"/>
      <c r="AB359" s="28"/>
      <c r="AM359" s="28"/>
      <c r="AQ359" s="4"/>
      <c r="AR359" s="4"/>
    </row>
    <row r="360" spans="7:44" ht="15">
      <c r="G360" s="28"/>
      <c r="H360" s="28"/>
      <c r="I360" s="28"/>
      <c r="J360" s="28"/>
      <c r="N360" s="63"/>
      <c r="O360" s="63"/>
      <c r="P360" s="28"/>
      <c r="AB360" s="28"/>
      <c r="AM360" s="28"/>
      <c r="AQ360" s="4"/>
      <c r="AR360" s="4"/>
    </row>
    <row r="361" spans="7:44" ht="15">
      <c r="G361" s="28"/>
      <c r="H361" s="28"/>
      <c r="I361" s="28"/>
      <c r="J361" s="28"/>
      <c r="N361" s="63"/>
      <c r="O361" s="63"/>
      <c r="P361" s="28"/>
      <c r="AB361" s="28"/>
      <c r="AM361" s="28"/>
      <c r="AQ361" s="4"/>
      <c r="AR361" s="4"/>
    </row>
    <row r="362" spans="7:44" ht="15">
      <c r="G362" s="28"/>
      <c r="H362" s="28"/>
      <c r="I362" s="28"/>
      <c r="J362" s="28"/>
      <c r="N362" s="63"/>
      <c r="O362" s="63"/>
      <c r="P362" s="28"/>
      <c r="AB362" s="28"/>
      <c r="AM362" s="28"/>
      <c r="AQ362" s="4"/>
      <c r="AR362" s="4"/>
    </row>
    <row r="363" spans="7:44" ht="15">
      <c r="G363" s="28"/>
      <c r="H363" s="28"/>
      <c r="I363" s="28"/>
      <c r="J363" s="28"/>
      <c r="N363" s="63"/>
      <c r="O363" s="63"/>
      <c r="P363" s="28"/>
      <c r="AB363" s="28"/>
      <c r="AM363" s="28"/>
      <c r="AQ363" s="4"/>
      <c r="AR363" s="4"/>
    </row>
    <row r="364" spans="7:44" ht="15">
      <c r="G364" s="28"/>
      <c r="H364" s="28"/>
      <c r="I364" s="28"/>
      <c r="J364" s="28"/>
      <c r="N364" s="63"/>
      <c r="O364" s="63"/>
      <c r="P364" s="28"/>
      <c r="AB364" s="28"/>
      <c r="AM364" s="28"/>
      <c r="AQ364" s="4"/>
      <c r="AR364" s="4"/>
    </row>
    <row r="365" spans="7:44" ht="15">
      <c r="G365" s="28"/>
      <c r="H365" s="28"/>
      <c r="I365" s="28"/>
      <c r="J365" s="28"/>
      <c r="N365" s="63"/>
      <c r="O365" s="63"/>
      <c r="P365" s="28"/>
      <c r="AB365" s="28"/>
      <c r="AM365" s="28"/>
      <c r="AQ365" s="4"/>
      <c r="AR365" s="4"/>
    </row>
    <row r="366" spans="7:44" ht="15">
      <c r="G366" s="28"/>
      <c r="H366" s="28"/>
      <c r="I366" s="28"/>
      <c r="J366" s="28"/>
      <c r="N366" s="63"/>
      <c r="O366" s="63"/>
      <c r="P366" s="28"/>
      <c r="AB366" s="28"/>
      <c r="AM366" s="28"/>
      <c r="AQ366" s="4"/>
      <c r="AR366" s="4"/>
    </row>
    <row r="367" spans="7:44" ht="15">
      <c r="G367" s="28"/>
      <c r="H367" s="28"/>
      <c r="I367" s="28"/>
      <c r="J367" s="28"/>
      <c r="N367" s="63"/>
      <c r="O367" s="63"/>
      <c r="P367" s="28"/>
      <c r="AB367" s="28"/>
      <c r="AM367" s="28"/>
      <c r="AQ367" s="4"/>
      <c r="AR367" s="4"/>
    </row>
    <row r="368" spans="7:44" ht="15">
      <c r="G368" s="28"/>
      <c r="H368" s="28"/>
      <c r="I368" s="28"/>
      <c r="J368" s="28"/>
      <c r="N368" s="63"/>
      <c r="O368" s="63"/>
      <c r="P368" s="28"/>
      <c r="AB368" s="28"/>
      <c r="AM368" s="28"/>
      <c r="AQ368" s="4"/>
      <c r="AR368" s="4"/>
    </row>
    <row r="369" spans="7:44" ht="15">
      <c r="G369" s="28"/>
      <c r="H369" s="28"/>
      <c r="I369" s="28"/>
      <c r="J369" s="28"/>
      <c r="N369" s="63"/>
      <c r="O369" s="63"/>
      <c r="P369" s="28"/>
      <c r="AB369" s="28"/>
      <c r="AM369" s="28"/>
      <c r="AQ369" s="4"/>
      <c r="AR369" s="4"/>
    </row>
    <row r="370" spans="7:44" ht="15">
      <c r="G370" s="28"/>
      <c r="H370" s="28"/>
      <c r="I370" s="28"/>
      <c r="J370" s="28"/>
      <c r="N370" s="63"/>
      <c r="O370" s="63"/>
      <c r="P370" s="28"/>
      <c r="AB370" s="28"/>
      <c r="AM370" s="28"/>
      <c r="AQ370" s="4"/>
      <c r="AR370" s="4"/>
    </row>
    <row r="371" spans="7:44" ht="15">
      <c r="G371" s="28"/>
      <c r="H371" s="28"/>
      <c r="I371" s="28"/>
      <c r="J371" s="28"/>
      <c r="N371" s="63"/>
      <c r="O371" s="63"/>
      <c r="P371" s="28"/>
      <c r="AB371" s="28"/>
      <c r="AM371" s="28"/>
      <c r="AQ371" s="4"/>
      <c r="AR371" s="4"/>
    </row>
    <row r="372" spans="7:44" ht="15">
      <c r="G372" s="28"/>
      <c r="H372" s="28"/>
      <c r="I372" s="28"/>
      <c r="J372" s="28"/>
      <c r="N372" s="63"/>
      <c r="O372" s="63"/>
      <c r="P372" s="28"/>
      <c r="AB372" s="28"/>
      <c r="AM372" s="28"/>
      <c r="AQ372" s="4"/>
      <c r="AR372" s="4"/>
    </row>
    <row r="373" spans="7:44" ht="15">
      <c r="G373" s="28"/>
      <c r="H373" s="28"/>
      <c r="I373" s="28"/>
      <c r="J373" s="28"/>
      <c r="N373" s="63"/>
      <c r="O373" s="63"/>
      <c r="P373" s="28"/>
      <c r="AB373" s="28"/>
      <c r="AM373" s="28"/>
      <c r="AQ373" s="4"/>
      <c r="AR373" s="4"/>
    </row>
    <row r="374" spans="7:44" ht="15">
      <c r="G374" s="28"/>
      <c r="H374" s="28"/>
      <c r="I374" s="28"/>
      <c r="J374" s="28"/>
      <c r="N374" s="63"/>
      <c r="O374" s="63"/>
      <c r="P374" s="28"/>
      <c r="AB374" s="28"/>
      <c r="AM374" s="28"/>
      <c r="AQ374" s="4"/>
      <c r="AR374" s="4"/>
    </row>
    <row r="375" spans="7:44" ht="15">
      <c r="G375" s="28"/>
      <c r="H375" s="28"/>
      <c r="I375" s="28"/>
      <c r="J375" s="28"/>
      <c r="N375" s="63"/>
      <c r="O375" s="63"/>
      <c r="P375" s="28"/>
      <c r="AB375" s="28"/>
      <c r="AM375" s="28"/>
      <c r="AQ375" s="4"/>
      <c r="AR375" s="4"/>
    </row>
    <row r="376" spans="7:44" ht="15">
      <c r="G376" s="28"/>
      <c r="H376" s="28"/>
      <c r="I376" s="28"/>
      <c r="J376" s="28"/>
      <c r="N376" s="63"/>
      <c r="O376" s="63"/>
      <c r="P376" s="28"/>
      <c r="AB376" s="28"/>
      <c r="AM376" s="28"/>
      <c r="AQ376" s="4"/>
      <c r="AR376" s="4"/>
    </row>
    <row r="377" spans="7:44" ht="15">
      <c r="G377" s="28"/>
      <c r="H377" s="28"/>
      <c r="I377" s="28"/>
      <c r="J377" s="28"/>
      <c r="N377" s="63"/>
      <c r="O377" s="63"/>
      <c r="P377" s="28"/>
      <c r="AB377" s="28"/>
      <c r="AM377" s="28"/>
      <c r="AQ377" s="4"/>
      <c r="AR377" s="4"/>
    </row>
    <row r="378" spans="7:44" ht="15">
      <c r="G378" s="28"/>
      <c r="H378" s="28"/>
      <c r="I378" s="28"/>
      <c r="J378" s="28"/>
      <c r="N378" s="63"/>
      <c r="O378" s="63"/>
      <c r="P378" s="28"/>
      <c r="AB378" s="28"/>
      <c r="AM378" s="28"/>
      <c r="AQ378" s="4"/>
      <c r="AR378" s="4"/>
    </row>
    <row r="379" spans="7:44" ht="15">
      <c r="G379" s="28"/>
      <c r="H379" s="28"/>
      <c r="I379" s="28"/>
      <c r="J379" s="28"/>
      <c r="N379" s="63"/>
      <c r="O379" s="63"/>
      <c r="P379" s="28"/>
      <c r="AB379" s="28"/>
      <c r="AM379" s="28"/>
      <c r="AQ379" s="4"/>
      <c r="AR379" s="4"/>
    </row>
    <row r="380" spans="7:44" ht="15">
      <c r="G380" s="28"/>
      <c r="H380" s="28"/>
      <c r="I380" s="28"/>
      <c r="J380" s="28"/>
      <c r="N380" s="63"/>
      <c r="O380" s="63"/>
      <c r="P380" s="28"/>
      <c r="AB380" s="28"/>
      <c r="AM380" s="28"/>
      <c r="AQ380" s="4"/>
      <c r="AR380" s="4"/>
    </row>
    <row r="381" spans="7:44" ht="15">
      <c r="G381" s="28"/>
      <c r="H381" s="28"/>
      <c r="I381" s="28"/>
      <c r="J381" s="28"/>
      <c r="N381" s="63"/>
      <c r="O381" s="63"/>
      <c r="P381" s="28"/>
      <c r="AB381" s="28"/>
      <c r="AM381" s="28"/>
      <c r="AQ381" s="4"/>
      <c r="AR381" s="4"/>
    </row>
    <row r="382" spans="7:44" ht="15">
      <c r="G382" s="28"/>
      <c r="H382" s="28"/>
      <c r="I382" s="28"/>
      <c r="J382" s="28"/>
      <c r="N382" s="63"/>
      <c r="O382" s="63"/>
      <c r="P382" s="28"/>
      <c r="AB382" s="28"/>
      <c r="AM382" s="28"/>
      <c r="AQ382" s="4"/>
      <c r="AR382" s="4"/>
    </row>
    <row r="383" spans="7:44" ht="15">
      <c r="G383" s="28"/>
      <c r="H383" s="28"/>
      <c r="I383" s="28"/>
      <c r="J383" s="28"/>
      <c r="N383" s="63"/>
      <c r="O383" s="63"/>
      <c r="P383" s="28"/>
      <c r="AB383" s="28"/>
      <c r="AM383" s="28"/>
      <c r="AQ383" s="4"/>
      <c r="AR383" s="4"/>
    </row>
    <row r="384" spans="7:44" ht="15">
      <c r="G384" s="28"/>
      <c r="H384" s="28"/>
      <c r="I384" s="28"/>
      <c r="J384" s="28"/>
      <c r="N384" s="63"/>
      <c r="O384" s="63"/>
      <c r="P384" s="28"/>
      <c r="AB384" s="28"/>
      <c r="AM384" s="28"/>
      <c r="AQ384" s="4"/>
      <c r="AR384" s="4"/>
    </row>
    <row r="385" spans="7:44" ht="15">
      <c r="G385" s="28"/>
      <c r="H385" s="28"/>
      <c r="I385" s="28"/>
      <c r="J385" s="28"/>
      <c r="N385" s="63"/>
      <c r="O385" s="63"/>
      <c r="P385" s="28"/>
      <c r="AB385" s="28"/>
      <c r="AM385" s="28"/>
      <c r="AQ385" s="4"/>
      <c r="AR385" s="4"/>
    </row>
    <row r="386" spans="7:44" ht="15">
      <c r="G386" s="28"/>
      <c r="H386" s="28"/>
      <c r="I386" s="28"/>
      <c r="J386" s="28"/>
      <c r="N386" s="63"/>
      <c r="O386" s="63"/>
      <c r="P386" s="28"/>
      <c r="AB386" s="28"/>
      <c r="AM386" s="28"/>
      <c r="AQ386" s="4"/>
      <c r="AR386" s="4"/>
    </row>
    <row r="387" spans="7:44" ht="15">
      <c r="G387" s="28"/>
      <c r="H387" s="28"/>
      <c r="I387" s="28"/>
      <c r="J387" s="28"/>
      <c r="N387" s="63"/>
      <c r="O387" s="63"/>
      <c r="P387" s="28"/>
      <c r="AB387" s="28"/>
      <c r="AM387" s="28"/>
      <c r="AQ387" s="4"/>
      <c r="AR387" s="4"/>
    </row>
    <row r="388" spans="7:44" ht="15">
      <c r="G388" s="28"/>
      <c r="H388" s="28"/>
      <c r="I388" s="28"/>
      <c r="J388" s="28"/>
      <c r="N388" s="63"/>
      <c r="O388" s="63"/>
      <c r="P388" s="28"/>
      <c r="AB388" s="28"/>
      <c r="AM388" s="28"/>
      <c r="AQ388" s="4"/>
      <c r="AR388" s="4"/>
    </row>
    <row r="389" spans="7:44" ht="15">
      <c r="G389" s="28"/>
      <c r="H389" s="28"/>
      <c r="I389" s="28"/>
      <c r="J389" s="28"/>
      <c r="N389" s="63"/>
      <c r="O389" s="63"/>
      <c r="P389" s="28"/>
      <c r="AB389" s="28"/>
      <c r="AM389" s="28"/>
      <c r="AQ389" s="4"/>
      <c r="AR389" s="4"/>
    </row>
    <row r="390" spans="7:44" ht="15">
      <c r="G390" s="28"/>
      <c r="H390" s="28"/>
      <c r="I390" s="28"/>
      <c r="J390" s="28"/>
      <c r="N390" s="63"/>
      <c r="O390" s="63"/>
      <c r="P390" s="28"/>
      <c r="AB390" s="28"/>
      <c r="AM390" s="28"/>
      <c r="AQ390" s="4"/>
      <c r="AR390" s="4"/>
    </row>
    <row r="391" spans="7:44" ht="15">
      <c r="G391" s="28"/>
      <c r="H391" s="28"/>
      <c r="I391" s="28"/>
      <c r="J391" s="28"/>
      <c r="N391" s="63"/>
      <c r="O391" s="63"/>
      <c r="P391" s="28"/>
      <c r="AB391" s="28"/>
      <c r="AM391" s="28"/>
      <c r="AQ391" s="4"/>
      <c r="AR391" s="4"/>
    </row>
    <row r="392" spans="7:44" ht="15">
      <c r="G392" s="28"/>
      <c r="H392" s="28"/>
      <c r="I392" s="28"/>
      <c r="J392" s="28"/>
      <c r="N392" s="63"/>
      <c r="O392" s="63"/>
      <c r="P392" s="28"/>
      <c r="AB392" s="28"/>
      <c r="AM392" s="28"/>
      <c r="AQ392" s="4"/>
      <c r="AR392" s="4"/>
    </row>
    <row r="393" spans="7:44" ht="15">
      <c r="G393" s="28"/>
      <c r="H393" s="28"/>
      <c r="I393" s="28"/>
      <c r="J393" s="28"/>
      <c r="N393" s="63"/>
      <c r="O393" s="63"/>
      <c r="P393" s="28"/>
      <c r="AB393" s="28"/>
      <c r="AM393" s="28"/>
      <c r="AQ393" s="4"/>
      <c r="AR393" s="4"/>
    </row>
    <row r="394" spans="7:44" ht="15">
      <c r="G394" s="28"/>
      <c r="H394" s="28"/>
      <c r="I394" s="28"/>
      <c r="J394" s="28"/>
      <c r="N394" s="63"/>
      <c r="O394" s="63"/>
      <c r="P394" s="28"/>
      <c r="AB394" s="28"/>
      <c r="AM394" s="28"/>
      <c r="AQ394" s="4"/>
      <c r="AR394" s="4"/>
    </row>
    <row r="395" spans="7:44" ht="15">
      <c r="G395" s="28"/>
      <c r="H395" s="28"/>
      <c r="I395" s="28"/>
      <c r="J395" s="28"/>
      <c r="N395" s="63"/>
      <c r="O395" s="63"/>
      <c r="P395" s="28"/>
      <c r="AB395" s="28"/>
      <c r="AM395" s="28"/>
      <c r="AQ395" s="4"/>
      <c r="AR395" s="4"/>
    </row>
    <row r="396" spans="7:44" ht="15">
      <c r="G396" s="28"/>
      <c r="H396" s="28"/>
      <c r="I396" s="28"/>
      <c r="J396" s="28"/>
      <c r="N396" s="63"/>
      <c r="O396" s="63"/>
      <c r="P396" s="28"/>
      <c r="AB396" s="28"/>
      <c r="AM396" s="28"/>
      <c r="AQ396" s="4"/>
      <c r="AR396" s="4"/>
    </row>
    <row r="397" spans="7:44" ht="15">
      <c r="G397" s="28"/>
      <c r="H397" s="28"/>
      <c r="I397" s="28"/>
      <c r="J397" s="28"/>
      <c r="N397" s="63"/>
      <c r="O397" s="63"/>
      <c r="P397" s="28"/>
      <c r="AB397" s="28"/>
      <c r="AM397" s="28"/>
      <c r="AQ397" s="4"/>
      <c r="AR397" s="4"/>
    </row>
    <row r="398" spans="7:44" ht="15">
      <c r="G398" s="28"/>
      <c r="H398" s="28"/>
      <c r="I398" s="28"/>
      <c r="J398" s="28"/>
      <c r="N398" s="63"/>
      <c r="O398" s="63"/>
      <c r="P398" s="28"/>
      <c r="AB398" s="28"/>
      <c r="AM398" s="28"/>
      <c r="AQ398" s="4"/>
      <c r="AR398" s="4"/>
    </row>
    <row r="399" spans="7:44" ht="15">
      <c r="G399" s="28"/>
      <c r="H399" s="28"/>
      <c r="I399" s="28"/>
      <c r="J399" s="28"/>
      <c r="N399" s="63"/>
      <c r="O399" s="63"/>
      <c r="P399" s="28"/>
      <c r="AB399" s="28"/>
      <c r="AM399" s="28"/>
      <c r="AQ399" s="4"/>
      <c r="AR399" s="4"/>
    </row>
    <row r="400" spans="7:44" ht="15">
      <c r="G400" s="28"/>
      <c r="H400" s="28"/>
      <c r="I400" s="28"/>
      <c r="J400" s="28"/>
      <c r="N400" s="63"/>
      <c r="O400" s="63"/>
      <c r="P400" s="28"/>
      <c r="AB400" s="28"/>
      <c r="AM400" s="28"/>
      <c r="AQ400" s="4"/>
      <c r="AR400" s="4"/>
    </row>
    <row r="401" spans="7:44" ht="15">
      <c r="G401" s="28"/>
      <c r="H401" s="28"/>
      <c r="I401" s="28"/>
      <c r="J401" s="28"/>
      <c r="N401" s="63"/>
      <c r="O401" s="63"/>
      <c r="P401" s="28"/>
      <c r="AB401" s="28"/>
      <c r="AM401" s="28"/>
      <c r="AQ401" s="4"/>
      <c r="AR401" s="4"/>
    </row>
    <row r="402" spans="7:44" ht="15">
      <c r="G402" s="28"/>
      <c r="H402" s="28"/>
      <c r="I402" s="28"/>
      <c r="J402" s="28"/>
      <c r="N402" s="63"/>
      <c r="O402" s="63"/>
      <c r="P402" s="28"/>
      <c r="AB402" s="28"/>
      <c r="AM402" s="28"/>
      <c r="AQ402" s="4"/>
      <c r="AR402" s="4"/>
    </row>
    <row r="403" spans="7:44" ht="15">
      <c r="G403" s="28"/>
      <c r="H403" s="28"/>
      <c r="I403" s="28"/>
      <c r="J403" s="28"/>
      <c r="N403" s="63"/>
      <c r="O403" s="63"/>
      <c r="P403" s="28"/>
      <c r="AB403" s="28"/>
      <c r="AM403" s="28"/>
      <c r="AQ403" s="4"/>
      <c r="AR403" s="4"/>
    </row>
    <row r="404" spans="7:44" ht="15">
      <c r="G404" s="28"/>
      <c r="H404" s="28"/>
      <c r="I404" s="28"/>
      <c r="J404" s="28"/>
      <c r="N404" s="63"/>
      <c r="O404" s="63"/>
      <c r="P404" s="28"/>
      <c r="AB404" s="28"/>
      <c r="AM404" s="28"/>
      <c r="AQ404" s="4"/>
      <c r="AR404" s="4"/>
    </row>
    <row r="405" spans="7:44" ht="15">
      <c r="G405" s="28"/>
      <c r="H405" s="28"/>
      <c r="I405" s="28"/>
      <c r="J405" s="28"/>
      <c r="N405" s="63"/>
      <c r="O405" s="63"/>
      <c r="P405" s="28"/>
      <c r="AB405" s="28"/>
      <c r="AM405" s="28"/>
      <c r="AQ405" s="4"/>
      <c r="AR405" s="4"/>
    </row>
    <row r="406" spans="7:44" ht="15">
      <c r="G406" s="28"/>
      <c r="H406" s="28"/>
      <c r="I406" s="28"/>
      <c r="J406" s="28"/>
      <c r="N406" s="63"/>
      <c r="O406" s="63"/>
      <c r="P406" s="28"/>
      <c r="AB406" s="28"/>
      <c r="AM406" s="28"/>
      <c r="AQ406" s="4"/>
      <c r="AR406" s="4"/>
    </row>
    <row r="407" spans="7:44" ht="15">
      <c r="G407" s="28"/>
      <c r="H407" s="28"/>
      <c r="I407" s="28"/>
      <c r="J407" s="28"/>
      <c r="N407" s="63"/>
      <c r="O407" s="63"/>
      <c r="P407" s="28"/>
      <c r="AB407" s="28"/>
      <c r="AM407" s="28"/>
      <c r="AQ407" s="4"/>
      <c r="AR407" s="4"/>
    </row>
    <row r="408" spans="7:44" ht="15">
      <c r="G408" s="28"/>
      <c r="H408" s="28"/>
      <c r="I408" s="28"/>
      <c r="J408" s="28"/>
      <c r="N408" s="63"/>
      <c r="O408" s="63"/>
      <c r="P408" s="28"/>
      <c r="AB408" s="28"/>
      <c r="AM408" s="28"/>
      <c r="AQ408" s="4"/>
      <c r="AR408" s="4"/>
    </row>
    <row r="409" spans="7:44" ht="15">
      <c r="G409" s="28"/>
      <c r="H409" s="28"/>
      <c r="I409" s="28"/>
      <c r="J409" s="28"/>
      <c r="N409" s="63"/>
      <c r="O409" s="63"/>
      <c r="P409" s="28"/>
      <c r="AB409" s="28"/>
      <c r="AM409" s="28"/>
      <c r="AQ409" s="4"/>
      <c r="AR409" s="4"/>
    </row>
    <row r="410" spans="7:44" ht="15">
      <c r="G410" s="28"/>
      <c r="H410" s="28"/>
      <c r="I410" s="28"/>
      <c r="J410" s="28"/>
      <c r="N410" s="63"/>
      <c r="O410" s="63"/>
      <c r="P410" s="28"/>
      <c r="AB410" s="28"/>
      <c r="AM410" s="28"/>
      <c r="AQ410" s="4"/>
      <c r="AR410" s="4"/>
    </row>
    <row r="411" spans="7:44" ht="15">
      <c r="G411" s="28"/>
      <c r="H411" s="28"/>
      <c r="I411" s="28"/>
      <c r="J411" s="28"/>
      <c r="N411" s="63"/>
      <c r="O411" s="63"/>
      <c r="P411" s="28"/>
      <c r="AB411" s="28"/>
      <c r="AM411" s="28"/>
      <c r="AQ411" s="4"/>
      <c r="AR411" s="4"/>
    </row>
    <row r="412" spans="7:44" ht="15">
      <c r="G412" s="28"/>
      <c r="H412" s="28"/>
      <c r="I412" s="28"/>
      <c r="J412" s="28"/>
      <c r="N412" s="63"/>
      <c r="O412" s="63"/>
      <c r="P412" s="28"/>
      <c r="AB412" s="28"/>
      <c r="AM412" s="28"/>
      <c r="AQ412" s="4"/>
      <c r="AR412" s="4"/>
    </row>
    <row r="413" spans="7:44" ht="15">
      <c r="G413" s="28"/>
      <c r="H413" s="28"/>
      <c r="I413" s="28"/>
      <c r="J413" s="28"/>
      <c r="N413" s="63"/>
      <c r="O413" s="63"/>
      <c r="P413" s="28"/>
      <c r="AB413" s="28"/>
      <c r="AM413" s="28"/>
      <c r="AQ413" s="4"/>
      <c r="AR413" s="4"/>
    </row>
    <row r="414" spans="7:44" ht="15">
      <c r="G414" s="28"/>
      <c r="H414" s="28"/>
      <c r="I414" s="28"/>
      <c r="J414" s="28"/>
      <c r="N414" s="63"/>
      <c r="O414" s="63"/>
      <c r="P414" s="28"/>
      <c r="AB414" s="28"/>
      <c r="AM414" s="28"/>
      <c r="AQ414" s="4"/>
      <c r="AR414" s="4"/>
    </row>
    <row r="415" spans="7:44" ht="15">
      <c r="G415" s="28"/>
      <c r="H415" s="28"/>
      <c r="I415" s="28"/>
      <c r="J415" s="28"/>
      <c r="N415" s="63"/>
      <c r="O415" s="63"/>
      <c r="P415" s="28"/>
      <c r="AB415" s="28"/>
      <c r="AM415" s="28"/>
      <c r="AQ415" s="4"/>
      <c r="AR415" s="4"/>
    </row>
    <row r="416" spans="7:44" ht="15">
      <c r="G416" s="28"/>
      <c r="H416" s="28"/>
      <c r="I416" s="28"/>
      <c r="J416" s="28"/>
      <c r="N416" s="63"/>
      <c r="O416" s="63"/>
      <c r="P416" s="28"/>
      <c r="AB416" s="28"/>
      <c r="AM416" s="28"/>
      <c r="AQ416" s="4"/>
      <c r="AR416" s="4"/>
    </row>
    <row r="417" spans="7:44" ht="15">
      <c r="G417" s="28"/>
      <c r="H417" s="28"/>
      <c r="I417" s="28"/>
      <c r="J417" s="28"/>
      <c r="N417" s="63"/>
      <c r="O417" s="63"/>
      <c r="P417" s="28"/>
      <c r="AB417" s="28"/>
      <c r="AM417" s="28"/>
      <c r="AQ417" s="4"/>
      <c r="AR417" s="4"/>
    </row>
    <row r="418" spans="7:44" ht="15">
      <c r="G418" s="28"/>
      <c r="H418" s="28"/>
      <c r="I418" s="28"/>
      <c r="J418" s="28"/>
      <c r="N418" s="63"/>
      <c r="O418" s="63"/>
      <c r="P418" s="28"/>
      <c r="AB418" s="28"/>
      <c r="AM418" s="28"/>
      <c r="AQ418" s="4"/>
      <c r="AR418" s="4"/>
    </row>
    <row r="419" spans="7:44" ht="15">
      <c r="G419" s="28"/>
      <c r="H419" s="28"/>
      <c r="I419" s="28"/>
      <c r="J419" s="28"/>
      <c r="N419" s="63"/>
      <c r="O419" s="63"/>
      <c r="P419" s="28"/>
      <c r="AB419" s="28"/>
      <c r="AM419" s="28"/>
      <c r="AQ419" s="4"/>
      <c r="AR419" s="4"/>
    </row>
    <row r="420" spans="7:44" ht="15">
      <c r="G420" s="28"/>
      <c r="H420" s="28"/>
      <c r="I420" s="28"/>
      <c r="J420" s="28"/>
      <c r="N420" s="63"/>
      <c r="O420" s="63"/>
      <c r="P420" s="28"/>
      <c r="AB420" s="28"/>
      <c r="AM420" s="28"/>
      <c r="AQ420" s="4"/>
      <c r="AR420" s="4"/>
    </row>
    <row r="421" spans="7:44" ht="15">
      <c r="G421" s="28"/>
      <c r="H421" s="28"/>
      <c r="I421" s="28"/>
      <c r="J421" s="28"/>
      <c r="N421" s="63"/>
      <c r="O421" s="63"/>
      <c r="P421" s="28"/>
      <c r="AB421" s="28"/>
      <c r="AM421" s="28"/>
      <c r="AQ421" s="4"/>
      <c r="AR421" s="4"/>
    </row>
    <row r="422" spans="7:44" ht="15">
      <c r="G422" s="28"/>
      <c r="H422" s="28"/>
      <c r="I422" s="28"/>
      <c r="J422" s="28"/>
      <c r="N422" s="63"/>
      <c r="O422" s="63"/>
      <c r="P422" s="28"/>
      <c r="AB422" s="28"/>
      <c r="AM422" s="28"/>
      <c r="AQ422" s="4"/>
      <c r="AR422" s="4"/>
    </row>
    <row r="423" spans="7:44" ht="15">
      <c r="G423" s="28"/>
      <c r="H423" s="28"/>
      <c r="I423" s="28"/>
      <c r="J423" s="28"/>
      <c r="N423" s="63"/>
      <c r="O423" s="63"/>
      <c r="P423" s="28"/>
      <c r="AB423" s="28"/>
      <c r="AM423" s="28"/>
      <c r="AQ423" s="4"/>
      <c r="AR423" s="4"/>
    </row>
    <row r="424" spans="7:44" ht="15">
      <c r="G424" s="28"/>
      <c r="H424" s="28"/>
      <c r="I424" s="28"/>
      <c r="J424" s="28"/>
      <c r="N424" s="63"/>
      <c r="O424" s="63"/>
      <c r="P424" s="28"/>
      <c r="AB424" s="28"/>
      <c r="AM424" s="28"/>
      <c r="AQ424" s="4"/>
      <c r="AR424" s="4"/>
    </row>
    <row r="425" spans="7:44" ht="15">
      <c r="G425" s="28"/>
      <c r="H425" s="28"/>
      <c r="I425" s="28"/>
      <c r="J425" s="28"/>
      <c r="N425" s="63"/>
      <c r="O425" s="63"/>
      <c r="P425" s="28"/>
      <c r="AB425" s="28"/>
      <c r="AM425" s="28"/>
      <c r="AQ425" s="4"/>
      <c r="AR425" s="4"/>
    </row>
    <row r="426" spans="7:44" ht="15">
      <c r="G426" s="28"/>
      <c r="H426" s="28"/>
      <c r="I426" s="28"/>
      <c r="J426" s="28"/>
      <c r="N426" s="63"/>
      <c r="O426" s="63"/>
      <c r="P426" s="28"/>
      <c r="AB426" s="28"/>
      <c r="AM426" s="28"/>
      <c r="AQ426" s="4"/>
      <c r="AR426" s="4"/>
    </row>
    <row r="427" spans="7:44" ht="15">
      <c r="G427" s="28"/>
      <c r="H427" s="28"/>
      <c r="I427" s="28"/>
      <c r="J427" s="28"/>
      <c r="N427" s="63"/>
      <c r="O427" s="63"/>
      <c r="P427" s="28"/>
      <c r="AB427" s="28"/>
      <c r="AM427" s="28"/>
      <c r="AQ427" s="4"/>
      <c r="AR427" s="4"/>
    </row>
    <row r="428" spans="7:44" ht="15">
      <c r="G428" s="28"/>
      <c r="H428" s="28"/>
      <c r="I428" s="28"/>
      <c r="J428" s="28"/>
      <c r="N428" s="63"/>
      <c r="O428" s="63"/>
      <c r="P428" s="28"/>
      <c r="AB428" s="28"/>
      <c r="AM428" s="28"/>
      <c r="AQ428" s="4"/>
      <c r="AR428" s="4"/>
    </row>
    <row r="429" spans="7:44" ht="15">
      <c r="G429" s="28"/>
      <c r="H429" s="28"/>
      <c r="I429" s="28"/>
      <c r="J429" s="28"/>
      <c r="N429" s="63"/>
      <c r="O429" s="63"/>
      <c r="P429" s="28"/>
      <c r="AB429" s="28"/>
      <c r="AM429" s="28"/>
      <c r="AQ429" s="4"/>
      <c r="AR429" s="4"/>
    </row>
    <row r="430" spans="7:44" ht="15">
      <c r="G430" s="28"/>
      <c r="H430" s="28"/>
      <c r="I430" s="28"/>
      <c r="J430" s="28"/>
      <c r="N430" s="63"/>
      <c r="O430" s="63"/>
      <c r="P430" s="28"/>
      <c r="AB430" s="28"/>
      <c r="AM430" s="28"/>
      <c r="AQ430" s="4"/>
      <c r="AR430" s="4"/>
    </row>
    <row r="431" spans="7:44" ht="15">
      <c r="G431" s="28"/>
      <c r="H431" s="28"/>
      <c r="I431" s="28"/>
      <c r="J431" s="28"/>
      <c r="N431" s="63"/>
      <c r="O431" s="63"/>
      <c r="P431" s="28"/>
      <c r="AB431" s="28"/>
      <c r="AM431" s="28"/>
      <c r="AQ431" s="4"/>
      <c r="AR431" s="4"/>
    </row>
    <row r="432" spans="7:44" ht="15">
      <c r="G432" s="28"/>
      <c r="H432" s="28"/>
      <c r="I432" s="28"/>
      <c r="J432" s="28"/>
      <c r="N432" s="63"/>
      <c r="O432" s="63"/>
      <c r="P432" s="28"/>
      <c r="AB432" s="28"/>
      <c r="AM432" s="28"/>
      <c r="AQ432" s="4"/>
      <c r="AR432" s="4"/>
    </row>
    <row r="433" spans="7:44" ht="15">
      <c r="G433" s="28"/>
      <c r="H433" s="28"/>
      <c r="I433" s="28"/>
      <c r="J433" s="28"/>
      <c r="N433" s="63"/>
      <c r="O433" s="63"/>
      <c r="P433" s="28"/>
      <c r="AB433" s="28"/>
      <c r="AM433" s="28"/>
      <c r="AQ433" s="4"/>
      <c r="AR433" s="4"/>
    </row>
    <row r="434" spans="7:44" ht="15">
      <c r="G434" s="28"/>
      <c r="H434" s="28"/>
      <c r="I434" s="28"/>
      <c r="J434" s="28"/>
      <c r="N434" s="63"/>
      <c r="O434" s="63"/>
      <c r="P434" s="28"/>
      <c r="AB434" s="28"/>
      <c r="AM434" s="28"/>
      <c r="AQ434" s="4"/>
      <c r="AR434" s="4"/>
    </row>
    <row r="435" spans="7:44" ht="15">
      <c r="G435" s="28"/>
      <c r="H435" s="28"/>
      <c r="I435" s="28"/>
      <c r="J435" s="28"/>
      <c r="N435" s="63"/>
      <c r="O435" s="63"/>
      <c r="P435" s="28"/>
      <c r="AB435" s="28"/>
      <c r="AM435" s="28"/>
      <c r="AQ435" s="4"/>
      <c r="AR435" s="4"/>
    </row>
    <row r="436" spans="7:44" ht="15">
      <c r="G436" s="28"/>
      <c r="H436" s="28"/>
      <c r="I436" s="28"/>
      <c r="J436" s="28"/>
      <c r="N436" s="63"/>
      <c r="O436" s="63"/>
      <c r="P436" s="28"/>
      <c r="AB436" s="28"/>
      <c r="AM436" s="28"/>
      <c r="AQ436" s="4"/>
      <c r="AR436" s="4"/>
    </row>
    <row r="437" spans="7:44" ht="15">
      <c r="G437" s="28"/>
      <c r="H437" s="28"/>
      <c r="I437" s="28"/>
      <c r="J437" s="28"/>
      <c r="N437" s="63"/>
      <c r="O437" s="63"/>
      <c r="P437" s="28"/>
      <c r="AB437" s="28"/>
      <c r="AM437" s="28"/>
      <c r="AQ437" s="4"/>
      <c r="AR437" s="4"/>
    </row>
    <row r="438" spans="7:44" ht="15">
      <c r="G438" s="28"/>
      <c r="H438" s="28"/>
      <c r="I438" s="28"/>
      <c r="J438" s="28"/>
      <c r="N438" s="63"/>
      <c r="O438" s="63"/>
      <c r="P438" s="28"/>
      <c r="AB438" s="28"/>
      <c r="AM438" s="28"/>
      <c r="AQ438" s="4"/>
      <c r="AR438" s="4"/>
    </row>
    <row r="439" spans="7:44" ht="15">
      <c r="G439" s="28"/>
      <c r="H439" s="28"/>
      <c r="I439" s="28"/>
      <c r="J439" s="28"/>
      <c r="N439" s="63"/>
      <c r="O439" s="63"/>
      <c r="P439" s="28"/>
      <c r="AB439" s="28"/>
      <c r="AM439" s="28"/>
      <c r="AQ439" s="4"/>
      <c r="AR439" s="4"/>
    </row>
    <row r="440" spans="7:44" ht="15">
      <c r="G440" s="28"/>
      <c r="H440" s="28"/>
      <c r="I440" s="28"/>
      <c r="J440" s="28"/>
      <c r="N440" s="63"/>
      <c r="O440" s="63"/>
      <c r="P440" s="28"/>
      <c r="AB440" s="28"/>
      <c r="AM440" s="28"/>
      <c r="AQ440" s="4"/>
      <c r="AR440" s="4"/>
    </row>
    <row r="441" spans="7:44" ht="15">
      <c r="G441" s="28"/>
      <c r="H441" s="28"/>
      <c r="I441" s="28"/>
      <c r="J441" s="28"/>
      <c r="N441" s="63"/>
      <c r="O441" s="63"/>
      <c r="P441" s="28"/>
      <c r="AB441" s="28"/>
      <c r="AM441" s="28"/>
      <c r="AQ441" s="4"/>
      <c r="AR441" s="4"/>
    </row>
    <row r="442" spans="7:44" ht="15">
      <c r="G442" s="28"/>
      <c r="H442" s="28"/>
      <c r="I442" s="28"/>
      <c r="J442" s="28"/>
      <c r="N442" s="63"/>
      <c r="O442" s="63"/>
      <c r="P442" s="28"/>
      <c r="AB442" s="28"/>
      <c r="AM442" s="28"/>
      <c r="AQ442" s="4"/>
      <c r="AR442" s="4"/>
    </row>
    <row r="443" spans="7:44" ht="15">
      <c r="G443" s="28"/>
      <c r="H443" s="28"/>
      <c r="I443" s="28"/>
      <c r="J443" s="28"/>
      <c r="N443" s="63"/>
      <c r="O443" s="63"/>
      <c r="P443" s="28"/>
      <c r="AB443" s="28"/>
      <c r="AM443" s="28"/>
      <c r="AQ443" s="4"/>
      <c r="AR443" s="4"/>
    </row>
    <row r="444" spans="7:44" ht="15">
      <c r="G444" s="28"/>
      <c r="H444" s="28"/>
      <c r="I444" s="28"/>
      <c r="J444" s="28"/>
      <c r="N444" s="63"/>
      <c r="O444" s="63"/>
      <c r="P444" s="28"/>
      <c r="AB444" s="28"/>
      <c r="AM444" s="28"/>
      <c r="AQ444" s="4"/>
      <c r="AR444" s="4"/>
    </row>
    <row r="445" spans="7:44" ht="15">
      <c r="G445" s="28"/>
      <c r="H445" s="28"/>
      <c r="I445" s="28"/>
      <c r="J445" s="28"/>
      <c r="N445" s="63"/>
      <c r="O445" s="63"/>
      <c r="P445" s="28"/>
      <c r="AB445" s="28"/>
      <c r="AM445" s="28"/>
      <c r="AQ445" s="4"/>
      <c r="AR445" s="4"/>
    </row>
    <row r="446" spans="7:44" ht="15">
      <c r="G446" s="28"/>
      <c r="H446" s="28"/>
      <c r="I446" s="28"/>
      <c r="J446" s="28"/>
      <c r="N446" s="63"/>
      <c r="O446" s="63"/>
      <c r="P446" s="28"/>
      <c r="AB446" s="28"/>
      <c r="AM446" s="28"/>
      <c r="AQ446" s="4"/>
      <c r="AR446" s="4"/>
    </row>
    <row r="447" spans="7:44" ht="15">
      <c r="G447" s="28"/>
      <c r="H447" s="28"/>
      <c r="I447" s="28"/>
      <c r="J447" s="28"/>
      <c r="N447" s="63"/>
      <c r="O447" s="63"/>
      <c r="P447" s="28"/>
      <c r="AB447" s="28"/>
      <c r="AM447" s="28"/>
      <c r="AQ447" s="4"/>
      <c r="AR447" s="4"/>
    </row>
    <row r="448" spans="7:44" ht="15">
      <c r="G448" s="28"/>
      <c r="H448" s="28"/>
      <c r="I448" s="28"/>
      <c r="J448" s="28"/>
      <c r="N448" s="63"/>
      <c r="O448" s="63"/>
      <c r="P448" s="28"/>
      <c r="AB448" s="28"/>
      <c r="AM448" s="28"/>
      <c r="AQ448" s="4"/>
      <c r="AR448" s="4"/>
    </row>
    <row r="449" spans="7:44" ht="15">
      <c r="G449" s="28"/>
      <c r="H449" s="28"/>
      <c r="I449" s="28"/>
      <c r="J449" s="28"/>
      <c r="N449" s="63"/>
      <c r="O449" s="63"/>
      <c r="P449" s="28"/>
      <c r="AB449" s="28"/>
      <c r="AM449" s="28"/>
      <c r="AQ449" s="4"/>
      <c r="AR449" s="4"/>
    </row>
    <row r="450" spans="7:44" ht="15">
      <c r="G450" s="28"/>
      <c r="H450" s="28"/>
      <c r="I450" s="28"/>
      <c r="J450" s="28"/>
      <c r="N450" s="63"/>
      <c r="O450" s="63"/>
      <c r="P450" s="28"/>
      <c r="AB450" s="28"/>
      <c r="AM450" s="28"/>
      <c r="AQ450" s="4"/>
      <c r="AR450" s="4"/>
    </row>
    <row r="451" spans="7:44" ht="15">
      <c r="G451" s="28"/>
      <c r="H451" s="28"/>
      <c r="I451" s="28"/>
      <c r="J451" s="28"/>
      <c r="N451" s="63"/>
      <c r="O451" s="63"/>
      <c r="P451" s="28"/>
      <c r="AB451" s="28"/>
      <c r="AM451" s="28"/>
      <c r="AQ451" s="4"/>
      <c r="AR451" s="4"/>
    </row>
    <row r="452" spans="7:44" ht="15">
      <c r="G452" s="28"/>
      <c r="H452" s="28"/>
      <c r="I452" s="28"/>
      <c r="J452" s="28"/>
      <c r="N452" s="63"/>
      <c r="O452" s="63"/>
      <c r="P452" s="28"/>
      <c r="AB452" s="28"/>
      <c r="AM452" s="28"/>
      <c r="AQ452" s="4"/>
      <c r="AR452" s="4"/>
    </row>
    <row r="453" spans="7:44" ht="15">
      <c r="G453" s="28"/>
      <c r="H453" s="28"/>
      <c r="I453" s="28"/>
      <c r="J453" s="28"/>
      <c r="N453" s="63"/>
      <c r="O453" s="63"/>
      <c r="P453" s="28"/>
      <c r="AB453" s="28"/>
      <c r="AM453" s="28"/>
      <c r="AQ453" s="4"/>
      <c r="AR453" s="4"/>
    </row>
    <row r="454" spans="7:44" ht="15">
      <c r="G454" s="28"/>
      <c r="H454" s="28"/>
      <c r="I454" s="28"/>
      <c r="J454" s="28"/>
      <c r="N454" s="63"/>
      <c r="O454" s="63"/>
      <c r="P454" s="28"/>
      <c r="AB454" s="28"/>
      <c r="AM454" s="28"/>
      <c r="AQ454" s="4"/>
      <c r="AR454" s="4"/>
    </row>
    <row r="455" spans="7:44" ht="15">
      <c r="G455" s="28"/>
      <c r="H455" s="28"/>
      <c r="I455" s="28"/>
      <c r="J455" s="28"/>
      <c r="N455" s="63"/>
      <c r="O455" s="63"/>
      <c r="P455" s="28"/>
      <c r="AB455" s="28"/>
      <c r="AM455" s="28"/>
      <c r="AQ455" s="4"/>
      <c r="AR455" s="4"/>
    </row>
    <row r="456" spans="7:44" ht="15">
      <c r="G456" s="28"/>
      <c r="H456" s="28"/>
      <c r="I456" s="28"/>
      <c r="J456" s="28"/>
      <c r="N456" s="63"/>
      <c r="O456" s="63"/>
      <c r="P456" s="28"/>
      <c r="AB456" s="28"/>
      <c r="AM456" s="28"/>
      <c r="AQ456" s="4"/>
      <c r="AR456" s="4"/>
    </row>
    <row r="457" spans="7:44" ht="15">
      <c r="G457" s="28"/>
      <c r="H457" s="28"/>
      <c r="I457" s="28"/>
      <c r="J457" s="28"/>
      <c r="N457" s="63"/>
      <c r="O457" s="63"/>
      <c r="P457" s="28"/>
      <c r="AB457" s="28"/>
      <c r="AM457" s="28"/>
      <c r="AQ457" s="4"/>
      <c r="AR457" s="4"/>
    </row>
    <row r="458" spans="7:44" ht="15">
      <c r="G458" s="28"/>
      <c r="H458" s="28"/>
      <c r="I458" s="28"/>
      <c r="J458" s="28"/>
      <c r="N458" s="63"/>
      <c r="O458" s="63"/>
      <c r="P458" s="28"/>
      <c r="AB458" s="28"/>
      <c r="AM458" s="28"/>
      <c r="AQ458" s="4"/>
      <c r="AR458" s="4"/>
    </row>
    <row r="459" spans="7:44" ht="15">
      <c r="G459" s="28"/>
      <c r="H459" s="28"/>
      <c r="I459" s="28"/>
      <c r="J459" s="28"/>
      <c r="N459" s="63"/>
      <c r="O459" s="63"/>
      <c r="P459" s="28"/>
      <c r="AB459" s="28"/>
      <c r="AM459" s="28"/>
      <c r="AQ459" s="4"/>
      <c r="AR459" s="4"/>
    </row>
    <row r="460" spans="7:44" ht="15">
      <c r="G460" s="28"/>
      <c r="H460" s="28"/>
      <c r="I460" s="28"/>
      <c r="J460" s="28"/>
      <c r="N460" s="63"/>
      <c r="O460" s="63"/>
      <c r="P460" s="28"/>
      <c r="AB460" s="28"/>
      <c r="AM460" s="28"/>
      <c r="AQ460" s="4"/>
      <c r="AR460" s="4"/>
    </row>
    <row r="461" spans="7:44" ht="15">
      <c r="G461" s="28"/>
      <c r="H461" s="28"/>
      <c r="I461" s="28"/>
      <c r="J461" s="28"/>
      <c r="N461" s="63"/>
      <c r="O461" s="63"/>
      <c r="P461" s="28"/>
      <c r="AB461" s="28"/>
      <c r="AM461" s="28"/>
      <c r="AQ461" s="4"/>
      <c r="AR461" s="4"/>
    </row>
    <row r="462" spans="7:44" ht="15">
      <c r="G462" s="28"/>
      <c r="H462" s="28"/>
      <c r="I462" s="28"/>
      <c r="J462" s="28"/>
      <c r="N462" s="63"/>
      <c r="O462" s="63"/>
      <c r="P462" s="28"/>
      <c r="AB462" s="28"/>
      <c r="AM462" s="28"/>
      <c r="AQ462" s="4"/>
      <c r="AR462" s="4"/>
    </row>
    <row r="463" spans="7:44" ht="15">
      <c r="G463" s="28"/>
      <c r="H463" s="28"/>
      <c r="I463" s="28"/>
      <c r="J463" s="28"/>
      <c r="N463" s="63"/>
      <c r="O463" s="63"/>
      <c r="P463" s="28"/>
      <c r="AB463" s="28"/>
      <c r="AM463" s="28"/>
      <c r="AQ463" s="4"/>
      <c r="AR463" s="4"/>
    </row>
    <row r="464" spans="7:44" ht="15">
      <c r="G464" s="28"/>
      <c r="H464" s="28"/>
      <c r="I464" s="28"/>
      <c r="J464" s="28"/>
      <c r="N464" s="63"/>
      <c r="O464" s="63"/>
      <c r="P464" s="28"/>
      <c r="AB464" s="28"/>
      <c r="AM464" s="28"/>
      <c r="AQ464" s="4"/>
      <c r="AR464" s="4"/>
    </row>
    <row r="465" spans="7:44" ht="15">
      <c r="G465" s="28"/>
      <c r="H465" s="28"/>
      <c r="I465" s="28"/>
      <c r="J465" s="28"/>
      <c r="N465" s="63"/>
      <c r="O465" s="63"/>
      <c r="P465" s="28"/>
      <c r="AB465" s="28"/>
      <c r="AM465" s="28"/>
      <c r="AQ465" s="4"/>
      <c r="AR465" s="4"/>
    </row>
    <row r="466" spans="7:44" ht="15">
      <c r="G466" s="28"/>
      <c r="H466" s="28"/>
      <c r="I466" s="28"/>
      <c r="J466" s="28"/>
      <c r="N466" s="63"/>
      <c r="O466" s="63"/>
      <c r="P466" s="28"/>
      <c r="AB466" s="28"/>
      <c r="AM466" s="28"/>
      <c r="AQ466" s="4"/>
      <c r="AR466" s="4"/>
    </row>
    <row r="467" spans="7:44" ht="15">
      <c r="G467" s="28"/>
      <c r="H467" s="28"/>
      <c r="I467" s="28"/>
      <c r="J467" s="28"/>
      <c r="N467" s="63"/>
      <c r="O467" s="63"/>
      <c r="P467" s="28"/>
      <c r="AB467" s="28"/>
      <c r="AM467" s="28"/>
      <c r="AQ467" s="4"/>
      <c r="AR467" s="4"/>
    </row>
    <row r="468" spans="7:44" ht="15">
      <c r="G468" s="28"/>
      <c r="H468" s="28"/>
      <c r="I468" s="28"/>
      <c r="J468" s="28"/>
      <c r="N468" s="63"/>
      <c r="O468" s="63"/>
      <c r="P468" s="28"/>
      <c r="AB468" s="28"/>
      <c r="AM468" s="28"/>
      <c r="AQ468" s="4"/>
      <c r="AR468" s="4"/>
    </row>
    <row r="469" spans="7:44" ht="15">
      <c r="G469" s="28"/>
      <c r="H469" s="28"/>
      <c r="I469" s="28"/>
      <c r="J469" s="28"/>
      <c r="N469" s="63"/>
      <c r="O469" s="63"/>
      <c r="P469" s="28"/>
      <c r="AB469" s="28"/>
      <c r="AM469" s="28"/>
      <c r="AQ469" s="4"/>
      <c r="AR469" s="4"/>
    </row>
    <row r="470" spans="7:44" ht="15">
      <c r="G470" s="28"/>
      <c r="H470" s="28"/>
      <c r="I470" s="28"/>
      <c r="J470" s="28"/>
      <c r="N470" s="63"/>
      <c r="O470" s="63"/>
      <c r="P470" s="28"/>
      <c r="AB470" s="28"/>
      <c r="AM470" s="28"/>
      <c r="AQ470" s="4"/>
      <c r="AR470" s="4"/>
    </row>
    <row r="471" spans="7:44" ht="15">
      <c r="G471" s="28"/>
      <c r="H471" s="28"/>
      <c r="I471" s="28"/>
      <c r="J471" s="28"/>
      <c r="N471" s="63"/>
      <c r="O471" s="63"/>
      <c r="P471" s="28"/>
      <c r="AB471" s="28"/>
      <c r="AM471" s="28"/>
      <c r="AQ471" s="4"/>
      <c r="AR471" s="4"/>
    </row>
    <row r="472" spans="7:44" ht="15">
      <c r="G472" s="28"/>
      <c r="H472" s="28"/>
      <c r="I472" s="28"/>
      <c r="J472" s="28"/>
      <c r="N472" s="63"/>
      <c r="O472" s="63"/>
      <c r="P472" s="28"/>
      <c r="AB472" s="28"/>
      <c r="AM472" s="28"/>
      <c r="AQ472" s="4"/>
      <c r="AR472" s="4"/>
    </row>
    <row r="473" spans="7:44" ht="15">
      <c r="G473" s="28"/>
      <c r="H473" s="28"/>
      <c r="I473" s="28"/>
      <c r="J473" s="28"/>
      <c r="N473" s="63"/>
      <c r="O473" s="63"/>
      <c r="P473" s="28"/>
      <c r="AB473" s="28"/>
      <c r="AM473" s="28"/>
      <c r="AQ473" s="4"/>
      <c r="AR473" s="4"/>
    </row>
    <row r="474" spans="7:44" ht="15">
      <c r="G474" s="28"/>
      <c r="H474" s="28"/>
      <c r="I474" s="28"/>
      <c r="J474" s="28"/>
      <c r="N474" s="63"/>
      <c r="O474" s="63"/>
      <c r="P474" s="28"/>
      <c r="AB474" s="28"/>
      <c r="AM474" s="28"/>
      <c r="AQ474" s="4"/>
      <c r="AR474" s="4"/>
    </row>
    <row r="475" spans="7:44" ht="15">
      <c r="G475" s="28"/>
      <c r="H475" s="28"/>
      <c r="I475" s="28"/>
      <c r="J475" s="28"/>
      <c r="N475" s="63"/>
      <c r="O475" s="63"/>
      <c r="P475" s="28"/>
      <c r="AB475" s="28"/>
      <c r="AM475" s="28"/>
      <c r="AQ475" s="4"/>
      <c r="AR475" s="4"/>
    </row>
    <row r="476" spans="7:44" ht="15">
      <c r="G476" s="28"/>
      <c r="H476" s="28"/>
      <c r="I476" s="28"/>
      <c r="J476" s="28"/>
      <c r="N476" s="63"/>
      <c r="O476" s="63"/>
      <c r="P476" s="28"/>
      <c r="AB476" s="28"/>
      <c r="AM476" s="28"/>
      <c r="AQ476" s="4"/>
      <c r="AR476" s="4"/>
    </row>
    <row r="477" spans="7:44" ht="15">
      <c r="G477" s="28"/>
      <c r="H477" s="28"/>
      <c r="I477" s="28"/>
      <c r="J477" s="28"/>
      <c r="N477" s="63"/>
      <c r="O477" s="63"/>
      <c r="P477" s="28"/>
      <c r="AB477" s="28"/>
      <c r="AM477" s="28"/>
      <c r="AQ477" s="4"/>
      <c r="AR477" s="4"/>
    </row>
    <row r="478" spans="7:44" ht="15">
      <c r="G478" s="28"/>
      <c r="H478" s="28"/>
      <c r="I478" s="28"/>
      <c r="J478" s="28"/>
      <c r="N478" s="63"/>
      <c r="O478" s="63"/>
      <c r="P478" s="28"/>
      <c r="AB478" s="28"/>
      <c r="AM478" s="28"/>
      <c r="AQ478" s="4"/>
      <c r="AR478" s="4"/>
    </row>
    <row r="479" spans="7:44" ht="15">
      <c r="G479" s="28"/>
      <c r="H479" s="28"/>
      <c r="I479" s="28"/>
      <c r="J479" s="28"/>
      <c r="N479" s="63"/>
      <c r="O479" s="63"/>
      <c r="P479" s="28"/>
      <c r="AB479" s="28"/>
      <c r="AM479" s="28"/>
      <c r="AQ479" s="4"/>
      <c r="AR479" s="4"/>
    </row>
    <row r="480" spans="7:44" ht="15">
      <c r="G480" s="28"/>
      <c r="H480" s="28"/>
      <c r="I480" s="28"/>
      <c r="J480" s="28"/>
      <c r="N480" s="63"/>
      <c r="O480" s="63"/>
      <c r="P480" s="28"/>
      <c r="AB480" s="28"/>
      <c r="AM480" s="28"/>
      <c r="AQ480" s="4"/>
      <c r="AR480" s="4"/>
    </row>
    <row r="481" spans="7:44" ht="15">
      <c r="G481" s="28"/>
      <c r="H481" s="28"/>
      <c r="I481" s="28"/>
      <c r="J481" s="28"/>
      <c r="N481" s="63"/>
      <c r="O481" s="63"/>
      <c r="P481" s="28"/>
      <c r="AB481" s="28"/>
      <c r="AM481" s="28"/>
      <c r="AQ481" s="4"/>
      <c r="AR481" s="4"/>
    </row>
    <row r="482" spans="7:44" ht="15">
      <c r="G482" s="28"/>
      <c r="H482" s="28"/>
      <c r="I482" s="28"/>
      <c r="J482" s="28"/>
      <c r="N482" s="63"/>
      <c r="O482" s="63"/>
      <c r="P482" s="28"/>
      <c r="AB482" s="28"/>
      <c r="AM482" s="28"/>
      <c r="AQ482" s="4"/>
      <c r="AR482" s="4"/>
    </row>
    <row r="483" spans="7:44" ht="15">
      <c r="G483" s="28"/>
      <c r="H483" s="28"/>
      <c r="I483" s="28"/>
      <c r="J483" s="28"/>
      <c r="N483" s="63"/>
      <c r="O483" s="63"/>
      <c r="P483" s="28"/>
      <c r="AB483" s="28"/>
      <c r="AM483" s="28"/>
      <c r="AQ483" s="4"/>
      <c r="AR483" s="4"/>
    </row>
    <row r="484" spans="7:44" ht="15">
      <c r="G484" s="28"/>
      <c r="H484" s="28"/>
      <c r="I484" s="28"/>
      <c r="J484" s="28"/>
      <c r="N484" s="63"/>
      <c r="O484" s="63"/>
      <c r="P484" s="28"/>
      <c r="AB484" s="28"/>
      <c r="AM484" s="28"/>
      <c r="AQ484" s="4"/>
      <c r="AR484" s="4"/>
    </row>
    <row r="485" spans="7:44" ht="15">
      <c r="G485" s="28"/>
      <c r="H485" s="28"/>
      <c r="I485" s="28"/>
      <c r="J485" s="28"/>
      <c r="N485" s="63"/>
      <c r="O485" s="63"/>
      <c r="P485" s="28"/>
      <c r="AB485" s="28"/>
      <c r="AM485" s="28"/>
      <c r="AQ485" s="4"/>
      <c r="AR485" s="4"/>
    </row>
    <row r="486" spans="7:44" ht="15">
      <c r="G486" s="28"/>
      <c r="H486" s="28"/>
      <c r="I486" s="28"/>
      <c r="J486" s="28"/>
      <c r="N486" s="63"/>
      <c r="O486" s="63"/>
      <c r="P486" s="28"/>
      <c r="AB486" s="28"/>
      <c r="AM486" s="28"/>
      <c r="AQ486" s="4"/>
      <c r="AR486" s="4"/>
    </row>
    <row r="487" spans="7:44" ht="15">
      <c r="G487" s="28"/>
      <c r="H487" s="28"/>
      <c r="I487" s="28"/>
      <c r="J487" s="28"/>
      <c r="N487" s="63"/>
      <c r="O487" s="63"/>
      <c r="P487" s="28"/>
      <c r="AB487" s="28"/>
      <c r="AM487" s="28"/>
      <c r="AQ487" s="4"/>
      <c r="AR487" s="4"/>
    </row>
    <row r="488" spans="7:44" ht="15">
      <c r="G488" s="28"/>
      <c r="H488" s="28"/>
      <c r="I488" s="28"/>
      <c r="J488" s="28"/>
      <c r="N488" s="63"/>
      <c r="O488" s="63"/>
      <c r="P488" s="28"/>
      <c r="AB488" s="28"/>
      <c r="AM488" s="28"/>
      <c r="AQ488" s="4"/>
      <c r="AR488" s="4"/>
    </row>
    <row r="489" spans="7:44" ht="15">
      <c r="G489" s="28"/>
      <c r="H489" s="28"/>
      <c r="I489" s="28"/>
      <c r="J489" s="28"/>
      <c r="N489" s="63"/>
      <c r="O489" s="63"/>
      <c r="P489" s="28"/>
      <c r="AB489" s="28"/>
      <c r="AM489" s="28"/>
      <c r="AQ489" s="4"/>
      <c r="AR489" s="4"/>
    </row>
    <row r="490" spans="7:44" ht="15">
      <c r="G490" s="28"/>
      <c r="H490" s="28"/>
      <c r="I490" s="28"/>
      <c r="J490" s="28"/>
      <c r="N490" s="63"/>
      <c r="O490" s="63"/>
      <c r="P490" s="28"/>
      <c r="AB490" s="28"/>
      <c r="AM490" s="28"/>
      <c r="AQ490" s="4"/>
      <c r="AR490" s="4"/>
    </row>
    <row r="491" spans="7:44" ht="15">
      <c r="G491" s="28"/>
      <c r="H491" s="28"/>
      <c r="I491" s="28"/>
      <c r="J491" s="28"/>
      <c r="N491" s="63"/>
      <c r="O491" s="63"/>
      <c r="P491" s="28"/>
      <c r="AB491" s="28"/>
      <c r="AM491" s="28"/>
      <c r="AQ491" s="4"/>
      <c r="AR491" s="4"/>
    </row>
    <row r="492" spans="7:44" ht="15">
      <c r="G492" s="28"/>
      <c r="H492" s="28"/>
      <c r="I492" s="28"/>
      <c r="J492" s="28"/>
      <c r="N492" s="63"/>
      <c r="O492" s="63"/>
      <c r="P492" s="28"/>
      <c r="AB492" s="28"/>
      <c r="AM492" s="28"/>
      <c r="AQ492" s="4"/>
      <c r="AR492" s="4"/>
    </row>
    <row r="493" spans="7:44" ht="15">
      <c r="G493" s="28"/>
      <c r="H493" s="28"/>
      <c r="I493" s="28"/>
      <c r="J493" s="28"/>
      <c r="N493" s="63"/>
      <c r="O493" s="63"/>
      <c r="P493" s="28"/>
      <c r="AB493" s="28"/>
      <c r="AM493" s="28"/>
      <c r="AQ493" s="4"/>
      <c r="AR493" s="4"/>
    </row>
    <row r="494" spans="7:44" ht="15">
      <c r="G494" s="28"/>
      <c r="H494" s="28"/>
      <c r="I494" s="28"/>
      <c r="J494" s="28"/>
      <c r="N494" s="63"/>
      <c r="O494" s="63"/>
      <c r="P494" s="28"/>
      <c r="AB494" s="28"/>
      <c r="AM494" s="28"/>
      <c r="AQ494" s="4"/>
      <c r="AR494" s="4"/>
    </row>
    <row r="495" spans="7:44" ht="15">
      <c r="G495" s="28"/>
      <c r="H495" s="28"/>
      <c r="I495" s="28"/>
      <c r="J495" s="28"/>
      <c r="N495" s="63"/>
      <c r="O495" s="63"/>
      <c r="P495" s="28"/>
      <c r="AB495" s="28"/>
      <c r="AM495" s="28"/>
      <c r="AQ495" s="4"/>
      <c r="AR495" s="4"/>
    </row>
    <row r="496" spans="7:44" ht="15">
      <c r="G496" s="28"/>
      <c r="H496" s="28"/>
      <c r="I496" s="28"/>
      <c r="J496" s="28"/>
      <c r="N496" s="63"/>
      <c r="O496" s="63"/>
      <c r="P496" s="28"/>
      <c r="AB496" s="28"/>
      <c r="AM496" s="28"/>
      <c r="AQ496" s="4"/>
      <c r="AR496" s="4"/>
    </row>
    <row r="497" spans="7:44" ht="15">
      <c r="G497" s="28"/>
      <c r="H497" s="28"/>
      <c r="I497" s="28"/>
      <c r="J497" s="28"/>
      <c r="N497" s="63"/>
      <c r="O497" s="63"/>
      <c r="P497" s="28"/>
      <c r="AB497" s="28"/>
      <c r="AM497" s="28"/>
      <c r="AQ497" s="4"/>
      <c r="AR497" s="4"/>
    </row>
    <row r="498" spans="7:44" ht="15">
      <c r="G498" s="28"/>
      <c r="H498" s="28"/>
      <c r="I498" s="28"/>
      <c r="J498" s="28"/>
      <c r="N498" s="63"/>
      <c r="O498" s="63"/>
      <c r="P498" s="28"/>
      <c r="AB498" s="28"/>
      <c r="AM498" s="28"/>
      <c r="AQ498" s="4"/>
      <c r="AR498" s="4"/>
    </row>
    <row r="499" spans="7:44" ht="15">
      <c r="G499" s="28"/>
      <c r="H499" s="28"/>
      <c r="I499" s="28"/>
      <c r="J499" s="28"/>
      <c r="N499" s="63"/>
      <c r="O499" s="63"/>
      <c r="P499" s="28"/>
      <c r="AB499" s="28"/>
      <c r="AM499" s="28"/>
      <c r="AQ499" s="4"/>
      <c r="AR499" s="4"/>
    </row>
    <row r="500" spans="7:44" ht="15">
      <c r="G500" s="28"/>
      <c r="H500" s="28"/>
      <c r="I500" s="28"/>
      <c r="J500" s="28"/>
      <c r="N500" s="63"/>
      <c r="O500" s="63"/>
      <c r="P500" s="28"/>
      <c r="AB500" s="28"/>
      <c r="AM500" s="28"/>
      <c r="AQ500" s="4"/>
      <c r="AR500" s="4"/>
    </row>
    <row r="501" spans="7:44" ht="15">
      <c r="G501" s="28"/>
      <c r="H501" s="28"/>
      <c r="I501" s="28"/>
      <c r="J501" s="28"/>
      <c r="N501" s="63"/>
      <c r="O501" s="63"/>
      <c r="P501" s="28"/>
      <c r="AB501" s="28"/>
      <c r="AM501" s="28"/>
      <c r="AQ501" s="4"/>
      <c r="AR501" s="4"/>
    </row>
    <row r="502" spans="7:44" ht="15">
      <c r="G502" s="28"/>
      <c r="H502" s="28"/>
      <c r="I502" s="28"/>
      <c r="J502" s="28"/>
      <c r="N502" s="63"/>
      <c r="O502" s="63"/>
      <c r="P502" s="28"/>
      <c r="AB502" s="28"/>
      <c r="AM502" s="28"/>
      <c r="AQ502" s="4"/>
      <c r="AR502" s="4"/>
    </row>
    <row r="503" spans="7:44" ht="15">
      <c r="G503" s="28"/>
      <c r="H503" s="28"/>
      <c r="I503" s="28"/>
      <c r="J503" s="28"/>
      <c r="N503" s="63"/>
      <c r="O503" s="63"/>
      <c r="P503" s="28"/>
      <c r="AB503" s="28"/>
      <c r="AM503" s="28"/>
      <c r="AQ503" s="4"/>
      <c r="AR503" s="4"/>
    </row>
    <row r="504" spans="7:44" ht="15">
      <c r="G504" s="28"/>
      <c r="H504" s="28"/>
      <c r="I504" s="28"/>
      <c r="J504" s="28"/>
      <c r="N504" s="63"/>
      <c r="O504" s="63"/>
      <c r="P504" s="28"/>
      <c r="AB504" s="28"/>
      <c r="AM504" s="28"/>
      <c r="AQ504" s="4"/>
      <c r="AR504" s="4"/>
    </row>
    <row r="505" spans="7:44" ht="15">
      <c r="G505" s="28"/>
      <c r="H505" s="28"/>
      <c r="I505" s="28"/>
      <c r="J505" s="28"/>
      <c r="N505" s="63"/>
      <c r="O505" s="63"/>
      <c r="P505" s="28"/>
      <c r="AB505" s="28"/>
      <c r="AM505" s="28"/>
      <c r="AQ505" s="4"/>
      <c r="AR505" s="4"/>
    </row>
    <row r="506" spans="7:44" ht="15">
      <c r="G506" s="28"/>
      <c r="H506" s="28"/>
      <c r="I506" s="28"/>
      <c r="J506" s="28"/>
      <c r="N506" s="63"/>
      <c r="O506" s="63"/>
      <c r="P506" s="28"/>
      <c r="AB506" s="28"/>
      <c r="AM506" s="28"/>
      <c r="AQ506" s="4"/>
      <c r="AR506" s="4"/>
    </row>
    <row r="507" spans="7:44" ht="15">
      <c r="G507" s="28"/>
      <c r="H507" s="28"/>
      <c r="I507" s="28"/>
      <c r="J507" s="28"/>
      <c r="N507" s="63"/>
      <c r="O507" s="63"/>
      <c r="P507" s="28"/>
      <c r="AB507" s="28"/>
      <c r="AM507" s="28"/>
      <c r="AQ507" s="4"/>
      <c r="AR507" s="4"/>
    </row>
    <row r="508" spans="7:44" ht="15">
      <c r="G508" s="28"/>
      <c r="H508" s="28"/>
      <c r="I508" s="28"/>
      <c r="J508" s="28"/>
      <c r="N508" s="63"/>
      <c r="O508" s="63"/>
      <c r="P508" s="28"/>
      <c r="AB508" s="28"/>
      <c r="AM508" s="28"/>
      <c r="AQ508" s="4"/>
      <c r="AR508" s="4"/>
    </row>
    <row r="509" spans="7:44" ht="15">
      <c r="G509" s="28"/>
      <c r="H509" s="28"/>
      <c r="I509" s="28"/>
      <c r="J509" s="28"/>
      <c r="N509" s="63"/>
      <c r="O509" s="63"/>
      <c r="P509" s="28"/>
      <c r="AB509" s="28"/>
      <c r="AM509" s="28"/>
      <c r="AQ509" s="4"/>
      <c r="AR509" s="4"/>
    </row>
    <row r="510" spans="7:44" ht="15">
      <c r="G510" s="28"/>
      <c r="H510" s="28"/>
      <c r="I510" s="28"/>
      <c r="J510" s="28"/>
      <c r="N510" s="63"/>
      <c r="O510" s="63"/>
      <c r="P510" s="28"/>
      <c r="AB510" s="28"/>
      <c r="AM510" s="28"/>
      <c r="AQ510" s="4"/>
      <c r="AR510" s="4"/>
    </row>
    <row r="511" spans="7:44" ht="15">
      <c r="G511" s="28"/>
      <c r="H511" s="28"/>
      <c r="I511" s="28"/>
      <c r="J511" s="28"/>
      <c r="N511" s="63"/>
      <c r="O511" s="63"/>
      <c r="P511" s="28"/>
      <c r="AB511" s="28"/>
      <c r="AM511" s="28"/>
      <c r="AQ511" s="4"/>
      <c r="AR511" s="4"/>
    </row>
    <row r="512" spans="7:44" ht="15">
      <c r="G512" s="28"/>
      <c r="H512" s="28"/>
      <c r="I512" s="28"/>
      <c r="J512" s="28"/>
      <c r="N512" s="63"/>
      <c r="O512" s="63"/>
      <c r="P512" s="28"/>
      <c r="AB512" s="28"/>
      <c r="AM512" s="28"/>
      <c r="AQ512" s="4"/>
      <c r="AR512" s="4"/>
    </row>
    <row r="513" spans="7:44" ht="15">
      <c r="G513" s="28"/>
      <c r="H513" s="28"/>
      <c r="I513" s="28"/>
      <c r="J513" s="28"/>
      <c r="N513" s="63"/>
      <c r="O513" s="63"/>
      <c r="P513" s="28"/>
      <c r="AB513" s="28"/>
      <c r="AM513" s="28"/>
      <c r="AQ513" s="4"/>
      <c r="AR513" s="4"/>
    </row>
    <row r="514" spans="7:44" ht="15">
      <c r="G514" s="28"/>
      <c r="H514" s="28"/>
      <c r="I514" s="28"/>
      <c r="J514" s="28"/>
      <c r="N514" s="63"/>
      <c r="O514" s="63"/>
      <c r="P514" s="28"/>
      <c r="AB514" s="28"/>
      <c r="AM514" s="28"/>
      <c r="AQ514" s="4"/>
      <c r="AR514" s="4"/>
    </row>
    <row r="515" spans="7:44" ht="15">
      <c r="G515" s="28"/>
      <c r="H515" s="28"/>
      <c r="I515" s="28"/>
      <c r="J515" s="28"/>
      <c r="N515" s="63"/>
      <c r="O515" s="63"/>
      <c r="P515" s="28"/>
      <c r="AB515" s="28"/>
      <c r="AM515" s="28"/>
      <c r="AQ515" s="4"/>
      <c r="AR515" s="4"/>
    </row>
    <row r="516" spans="7:44" ht="15">
      <c r="G516" s="28"/>
      <c r="H516" s="28"/>
      <c r="I516" s="28"/>
      <c r="J516" s="28"/>
      <c r="N516" s="63"/>
      <c r="O516" s="63"/>
      <c r="P516" s="28"/>
      <c r="AB516" s="28"/>
      <c r="AM516" s="28"/>
      <c r="AQ516" s="4"/>
      <c r="AR516" s="4"/>
    </row>
    <row r="517" spans="7:44" ht="15">
      <c r="G517" s="28"/>
      <c r="H517" s="28"/>
      <c r="I517" s="28"/>
      <c r="J517" s="28"/>
      <c r="N517" s="63"/>
      <c r="O517" s="63"/>
      <c r="P517" s="28"/>
      <c r="AB517" s="28"/>
      <c r="AM517" s="28"/>
      <c r="AQ517" s="4"/>
      <c r="AR517" s="4"/>
    </row>
    <row r="518" spans="7:44" ht="15">
      <c r="G518" s="28"/>
      <c r="H518" s="28"/>
      <c r="I518" s="28"/>
      <c r="J518" s="28"/>
      <c r="N518" s="63"/>
      <c r="O518" s="63"/>
      <c r="P518" s="28"/>
      <c r="AB518" s="28"/>
      <c r="AM518" s="28"/>
      <c r="AQ518" s="4"/>
      <c r="AR518" s="4"/>
    </row>
    <row r="519" spans="7:44" ht="15">
      <c r="G519" s="28"/>
      <c r="H519" s="28"/>
      <c r="I519" s="28"/>
      <c r="J519" s="28"/>
      <c r="N519" s="63"/>
      <c r="O519" s="63"/>
      <c r="P519" s="28"/>
      <c r="AB519" s="28"/>
      <c r="AM519" s="28"/>
      <c r="AQ519" s="4"/>
      <c r="AR519" s="4"/>
    </row>
    <row r="520" spans="7:44" ht="15">
      <c r="G520" s="28"/>
      <c r="H520" s="28"/>
      <c r="I520" s="28"/>
      <c r="J520" s="28"/>
      <c r="N520" s="63"/>
      <c r="O520" s="63"/>
      <c r="P520" s="28"/>
      <c r="AB520" s="28"/>
      <c r="AM520" s="28"/>
      <c r="AQ520" s="4"/>
      <c r="AR520" s="4"/>
    </row>
    <row r="521" spans="7:44" ht="15">
      <c r="G521" s="28"/>
      <c r="H521" s="28"/>
      <c r="I521" s="28"/>
      <c r="J521" s="28"/>
      <c r="N521" s="63"/>
      <c r="O521" s="63"/>
      <c r="P521" s="28"/>
      <c r="AB521" s="28"/>
      <c r="AM521" s="28"/>
      <c r="AQ521" s="4"/>
      <c r="AR521" s="4"/>
    </row>
    <row r="522" spans="7:44" ht="15">
      <c r="G522" s="28"/>
      <c r="H522" s="28"/>
      <c r="I522" s="28"/>
      <c r="J522" s="28"/>
      <c r="N522" s="63"/>
      <c r="O522" s="63"/>
      <c r="P522" s="28"/>
      <c r="AB522" s="28"/>
      <c r="AM522" s="28"/>
      <c r="AQ522" s="4"/>
      <c r="AR522" s="4"/>
    </row>
    <row r="523" spans="7:44" ht="15">
      <c r="G523" s="28"/>
      <c r="H523" s="28"/>
      <c r="I523" s="28"/>
      <c r="J523" s="28"/>
      <c r="N523" s="63"/>
      <c r="O523" s="63"/>
      <c r="P523" s="28"/>
      <c r="AB523" s="28"/>
      <c r="AM523" s="28"/>
      <c r="AQ523" s="4"/>
      <c r="AR523" s="4"/>
    </row>
    <row r="524" spans="7:44" ht="15">
      <c r="G524" s="28"/>
      <c r="H524" s="28"/>
      <c r="I524" s="28"/>
      <c r="J524" s="28"/>
      <c r="N524" s="63"/>
      <c r="O524" s="63"/>
      <c r="P524" s="28"/>
      <c r="AB524" s="28"/>
      <c r="AM524" s="28"/>
      <c r="AQ524" s="4"/>
      <c r="AR524" s="4"/>
    </row>
    <row r="525" spans="7:44" ht="15">
      <c r="G525" s="28"/>
      <c r="H525" s="28"/>
      <c r="I525" s="28"/>
      <c r="J525" s="28"/>
      <c r="N525" s="63"/>
      <c r="O525" s="63"/>
      <c r="P525" s="28"/>
      <c r="AB525" s="28"/>
      <c r="AM525" s="28"/>
      <c r="AQ525" s="4"/>
      <c r="AR525" s="4"/>
    </row>
    <row r="526" spans="7:44" ht="15">
      <c r="G526" s="28"/>
      <c r="H526" s="28"/>
      <c r="I526" s="28"/>
      <c r="J526" s="28"/>
      <c r="N526" s="63"/>
      <c r="O526" s="63"/>
      <c r="P526" s="28"/>
      <c r="AB526" s="28"/>
      <c r="AM526" s="28"/>
      <c r="AQ526" s="4"/>
      <c r="AR526" s="4"/>
    </row>
    <row r="527" spans="7:44" ht="15">
      <c r="G527" s="28"/>
      <c r="H527" s="28"/>
      <c r="I527" s="28"/>
      <c r="J527" s="28"/>
      <c r="N527" s="63"/>
      <c r="O527" s="63"/>
      <c r="P527" s="28"/>
      <c r="AB527" s="28"/>
      <c r="AM527" s="28"/>
      <c r="AQ527" s="4"/>
      <c r="AR527" s="4"/>
    </row>
    <row r="528" spans="7:44" ht="15">
      <c r="G528" s="28"/>
      <c r="H528" s="28"/>
      <c r="I528" s="28"/>
      <c r="J528" s="28"/>
      <c r="N528" s="63"/>
      <c r="O528" s="63"/>
      <c r="P528" s="28"/>
      <c r="AB528" s="28"/>
      <c r="AM528" s="28"/>
      <c r="AQ528" s="4"/>
      <c r="AR528" s="4"/>
    </row>
    <row r="529" spans="7:44" ht="15">
      <c r="G529" s="28"/>
      <c r="H529" s="28"/>
      <c r="I529" s="28"/>
      <c r="J529" s="28"/>
      <c r="N529" s="63"/>
      <c r="O529" s="63"/>
      <c r="P529" s="28"/>
      <c r="AB529" s="28"/>
      <c r="AM529" s="28"/>
      <c r="AQ529" s="4"/>
      <c r="AR529" s="4"/>
    </row>
    <row r="530" spans="7:44" ht="15">
      <c r="G530" s="28"/>
      <c r="H530" s="28"/>
      <c r="I530" s="28"/>
      <c r="J530" s="28"/>
      <c r="N530" s="63"/>
      <c r="O530" s="63"/>
      <c r="P530" s="28"/>
      <c r="AB530" s="28"/>
      <c r="AM530" s="28"/>
      <c r="AQ530" s="4"/>
      <c r="AR530" s="4"/>
    </row>
    <row r="531" spans="7:44" ht="15">
      <c r="G531" s="28"/>
      <c r="H531" s="28"/>
      <c r="I531" s="28"/>
      <c r="J531" s="28"/>
      <c r="N531" s="63"/>
      <c r="O531" s="63"/>
      <c r="P531" s="28"/>
      <c r="AB531" s="28"/>
      <c r="AM531" s="28"/>
      <c r="AQ531" s="4"/>
      <c r="AR531" s="4"/>
    </row>
    <row r="532" spans="7:44" ht="15">
      <c r="G532" s="28"/>
      <c r="H532" s="28"/>
      <c r="I532" s="28"/>
      <c r="J532" s="28"/>
      <c r="N532" s="63"/>
      <c r="O532" s="63"/>
      <c r="P532" s="28"/>
      <c r="AB532" s="28"/>
      <c r="AM532" s="28"/>
      <c r="AQ532" s="4"/>
      <c r="AR532" s="4"/>
    </row>
    <row r="533" spans="7:44" ht="15">
      <c r="G533" s="28"/>
      <c r="H533" s="28"/>
      <c r="I533" s="28"/>
      <c r="J533" s="28"/>
      <c r="N533" s="63"/>
      <c r="O533" s="63"/>
      <c r="P533" s="28"/>
      <c r="AB533" s="28"/>
      <c r="AM533" s="28"/>
      <c r="AQ533" s="4"/>
      <c r="AR533" s="4"/>
    </row>
    <row r="534" spans="7:44" ht="15">
      <c r="G534" s="28"/>
      <c r="H534" s="28"/>
      <c r="I534" s="28"/>
      <c r="J534" s="28"/>
      <c r="N534" s="63"/>
      <c r="O534" s="63"/>
      <c r="P534" s="28"/>
      <c r="AB534" s="28"/>
      <c r="AM534" s="28"/>
      <c r="AQ534" s="4"/>
      <c r="AR534" s="4"/>
    </row>
    <row r="535" spans="7:44" ht="15">
      <c r="G535" s="28"/>
      <c r="H535" s="28"/>
      <c r="I535" s="28"/>
      <c r="J535" s="28"/>
      <c r="N535" s="63"/>
      <c r="O535" s="63"/>
      <c r="P535" s="28"/>
      <c r="AB535" s="28"/>
      <c r="AM535" s="28"/>
      <c r="AQ535" s="4"/>
      <c r="AR535" s="4"/>
    </row>
    <row r="536" spans="7:44" ht="15">
      <c r="G536" s="28"/>
      <c r="H536" s="28"/>
      <c r="I536" s="28"/>
      <c r="J536" s="28"/>
      <c r="N536" s="63"/>
      <c r="O536" s="63"/>
      <c r="P536" s="28"/>
      <c r="AB536" s="28"/>
      <c r="AM536" s="28"/>
      <c r="AQ536" s="4"/>
      <c r="AR536" s="4"/>
    </row>
    <row r="537" spans="7:44" ht="15">
      <c r="G537" s="28"/>
      <c r="H537" s="28"/>
      <c r="I537" s="28"/>
      <c r="J537" s="28"/>
      <c r="N537" s="63"/>
      <c r="O537" s="63"/>
      <c r="P537" s="28"/>
      <c r="AB537" s="28"/>
      <c r="AM537" s="28"/>
      <c r="AQ537" s="4"/>
      <c r="AR537" s="4"/>
    </row>
    <row r="538" spans="7:44" ht="15">
      <c r="G538" s="28"/>
      <c r="H538" s="28"/>
      <c r="I538" s="28"/>
      <c r="J538" s="28"/>
      <c r="N538" s="63"/>
      <c r="O538" s="63"/>
      <c r="P538" s="28"/>
      <c r="AB538" s="28"/>
      <c r="AM538" s="28"/>
      <c r="AQ538" s="4"/>
      <c r="AR538" s="4"/>
    </row>
    <row r="539" spans="7:44" ht="15">
      <c r="G539" s="28"/>
      <c r="H539" s="28"/>
      <c r="I539" s="28"/>
      <c r="J539" s="28"/>
      <c r="N539" s="63"/>
      <c r="O539" s="63"/>
      <c r="P539" s="28"/>
      <c r="AB539" s="28"/>
      <c r="AM539" s="28"/>
      <c r="AQ539" s="4"/>
      <c r="AR539" s="4"/>
    </row>
    <row r="540" spans="7:44" ht="15">
      <c r="G540" s="28"/>
      <c r="H540" s="28"/>
      <c r="I540" s="28"/>
      <c r="J540" s="28"/>
      <c r="N540" s="63"/>
      <c r="O540" s="63"/>
      <c r="P540" s="28"/>
      <c r="AB540" s="28"/>
      <c r="AM540" s="28"/>
      <c r="AQ540" s="4"/>
      <c r="AR540" s="4"/>
    </row>
    <row r="541" spans="7:44" ht="15">
      <c r="G541" s="28"/>
      <c r="H541" s="28"/>
      <c r="I541" s="28"/>
      <c r="J541" s="28"/>
      <c r="N541" s="63"/>
      <c r="O541" s="63"/>
      <c r="P541" s="28"/>
      <c r="AB541" s="28"/>
      <c r="AM541" s="28"/>
      <c r="AQ541" s="4"/>
      <c r="AR541" s="4"/>
    </row>
    <row r="542" spans="7:44" ht="15">
      <c r="G542" s="28"/>
      <c r="H542" s="28"/>
      <c r="I542" s="28"/>
      <c r="J542" s="28"/>
      <c r="N542" s="63"/>
      <c r="O542" s="63"/>
      <c r="P542" s="28"/>
      <c r="AB542" s="28"/>
      <c r="AM542" s="28"/>
      <c r="AQ542" s="4"/>
      <c r="AR542" s="4"/>
    </row>
    <row r="543" spans="7:44" ht="15">
      <c r="G543" s="28"/>
      <c r="H543" s="28"/>
      <c r="I543" s="28"/>
      <c r="J543" s="28"/>
      <c r="N543" s="63"/>
      <c r="O543" s="63"/>
      <c r="P543" s="28"/>
      <c r="AB543" s="28"/>
      <c r="AM543" s="28"/>
      <c r="AQ543" s="4"/>
      <c r="AR543" s="4"/>
    </row>
    <row r="544" spans="7:44" ht="15">
      <c r="G544" s="28"/>
      <c r="H544" s="28"/>
      <c r="I544" s="28"/>
      <c r="J544" s="28"/>
      <c r="N544" s="63"/>
      <c r="O544" s="63"/>
      <c r="P544" s="28"/>
      <c r="AB544" s="28"/>
      <c r="AM544" s="28"/>
      <c r="AQ544" s="4"/>
      <c r="AR544" s="4"/>
    </row>
    <row r="545" spans="7:44" ht="15">
      <c r="G545" s="28"/>
      <c r="H545" s="28"/>
      <c r="I545" s="28"/>
      <c r="J545" s="28"/>
      <c r="N545" s="63"/>
      <c r="O545" s="63"/>
      <c r="P545" s="28"/>
      <c r="AB545" s="28"/>
      <c r="AM545" s="28"/>
      <c r="AQ545" s="4"/>
      <c r="AR545" s="4"/>
    </row>
    <row r="546" spans="7:44" ht="15">
      <c r="G546" s="28"/>
      <c r="H546" s="28"/>
      <c r="I546" s="28"/>
      <c r="J546" s="28"/>
      <c r="N546" s="63"/>
      <c r="O546" s="63"/>
      <c r="P546" s="28"/>
      <c r="AB546" s="28"/>
      <c r="AM546" s="28"/>
      <c r="AQ546" s="4"/>
      <c r="AR546" s="4"/>
    </row>
    <row r="547" spans="7:44" ht="15">
      <c r="G547" s="28"/>
      <c r="H547" s="28"/>
      <c r="I547" s="28"/>
      <c r="J547" s="28"/>
      <c r="N547" s="63"/>
      <c r="O547" s="63"/>
      <c r="P547" s="28"/>
      <c r="AB547" s="28"/>
      <c r="AM547" s="28"/>
      <c r="AQ547" s="4"/>
      <c r="AR547" s="4"/>
    </row>
    <row r="548" spans="7:44" ht="15">
      <c r="G548" s="28"/>
      <c r="H548" s="28"/>
      <c r="I548" s="28"/>
      <c r="J548" s="28"/>
      <c r="N548" s="63"/>
      <c r="O548" s="63"/>
      <c r="P548" s="28"/>
      <c r="AB548" s="28"/>
      <c r="AM548" s="28"/>
      <c r="AQ548" s="4"/>
      <c r="AR548" s="4"/>
    </row>
    <row r="549" spans="7:44" ht="15">
      <c r="G549" s="28"/>
      <c r="H549" s="28"/>
      <c r="I549" s="28"/>
      <c r="J549" s="28"/>
      <c r="N549" s="63"/>
      <c r="O549" s="63"/>
      <c r="P549" s="28"/>
      <c r="AB549" s="28"/>
      <c r="AM549" s="28"/>
      <c r="AQ549" s="4"/>
      <c r="AR549" s="4"/>
    </row>
    <row r="550" spans="7:44" ht="15">
      <c r="G550" s="28"/>
      <c r="H550" s="28"/>
      <c r="I550" s="28"/>
      <c r="J550" s="28"/>
      <c r="N550" s="63"/>
      <c r="O550" s="63"/>
      <c r="P550" s="28"/>
      <c r="AB550" s="28"/>
      <c r="AM550" s="28"/>
      <c r="AQ550" s="4"/>
      <c r="AR550" s="4"/>
    </row>
    <row r="551" spans="7:44" ht="15">
      <c r="G551" s="28"/>
      <c r="H551" s="28"/>
      <c r="I551" s="28"/>
      <c r="J551" s="28"/>
      <c r="N551" s="63"/>
      <c r="O551" s="63"/>
      <c r="P551" s="28"/>
      <c r="AB551" s="28"/>
      <c r="AM551" s="28"/>
      <c r="AQ551" s="4"/>
      <c r="AR551" s="4"/>
    </row>
    <row r="552" spans="7:44" ht="15">
      <c r="G552" s="28"/>
      <c r="H552" s="28"/>
      <c r="I552" s="28"/>
      <c r="J552" s="28"/>
      <c r="N552" s="63"/>
      <c r="O552" s="63"/>
      <c r="P552" s="28"/>
      <c r="AB552" s="28"/>
      <c r="AM552" s="28"/>
      <c r="AQ552" s="4"/>
      <c r="AR552" s="4"/>
    </row>
    <row r="553" spans="7:44" ht="15">
      <c r="G553" s="28"/>
      <c r="H553" s="28"/>
      <c r="I553" s="28"/>
      <c r="J553" s="28"/>
      <c r="N553" s="63"/>
      <c r="O553" s="63"/>
      <c r="P553" s="28"/>
      <c r="AB553" s="28"/>
      <c r="AM553" s="28"/>
      <c r="AQ553" s="4"/>
      <c r="AR553" s="4"/>
    </row>
    <row r="554" spans="7:44" ht="15">
      <c r="G554" s="28"/>
      <c r="H554" s="28"/>
      <c r="I554" s="28"/>
      <c r="J554" s="28"/>
      <c r="N554" s="63"/>
      <c r="O554" s="63"/>
      <c r="P554" s="28"/>
      <c r="AB554" s="28"/>
      <c r="AM554" s="28"/>
      <c r="AQ554" s="4"/>
      <c r="AR554" s="4"/>
    </row>
    <row r="555" spans="7:44" ht="15">
      <c r="G555" s="28"/>
      <c r="H555" s="28"/>
      <c r="I555" s="28"/>
      <c r="J555" s="28"/>
      <c r="N555" s="63"/>
      <c r="O555" s="63"/>
      <c r="P555" s="28"/>
      <c r="AB555" s="28"/>
      <c r="AM555" s="28"/>
      <c r="AQ555" s="4"/>
      <c r="AR555" s="4"/>
    </row>
    <row r="556" spans="7:44" ht="15">
      <c r="G556" s="28"/>
      <c r="H556" s="28"/>
      <c r="I556" s="28"/>
      <c r="J556" s="28"/>
      <c r="N556" s="63"/>
      <c r="O556" s="63"/>
      <c r="P556" s="28"/>
      <c r="AB556" s="28"/>
      <c r="AM556" s="28"/>
      <c r="AQ556" s="4"/>
      <c r="AR556" s="4"/>
    </row>
    <row r="557" spans="7:44" ht="15">
      <c r="G557" s="28"/>
      <c r="H557" s="28"/>
      <c r="I557" s="28"/>
      <c r="J557" s="28"/>
      <c r="N557" s="63"/>
      <c r="O557" s="63"/>
      <c r="P557" s="28"/>
      <c r="AB557" s="28"/>
      <c r="AM557" s="28"/>
      <c r="AQ557" s="4"/>
      <c r="AR557" s="4"/>
    </row>
    <row r="558" spans="7:44" ht="15">
      <c r="G558" s="28"/>
      <c r="H558" s="28"/>
      <c r="I558" s="28"/>
      <c r="J558" s="28"/>
      <c r="N558" s="63"/>
      <c r="O558" s="63"/>
      <c r="P558" s="28"/>
      <c r="AB558" s="28"/>
      <c r="AM558" s="28"/>
      <c r="AQ558" s="4"/>
      <c r="AR558" s="4"/>
    </row>
    <row r="559" spans="7:44" ht="15">
      <c r="G559" s="28"/>
      <c r="H559" s="28"/>
      <c r="I559" s="28"/>
      <c r="J559" s="28"/>
      <c r="N559" s="63"/>
      <c r="O559" s="63"/>
      <c r="P559" s="28"/>
      <c r="AB559" s="28"/>
      <c r="AM559" s="28"/>
      <c r="AQ559" s="4"/>
      <c r="AR559" s="4"/>
    </row>
    <row r="560" spans="7:44" ht="15">
      <c r="G560" s="28"/>
      <c r="H560" s="28"/>
      <c r="I560" s="28"/>
      <c r="J560" s="28"/>
      <c r="N560" s="63"/>
      <c r="O560" s="63"/>
      <c r="P560" s="28"/>
      <c r="AB560" s="28"/>
      <c r="AM560" s="28"/>
      <c r="AQ560" s="4"/>
      <c r="AR560" s="4"/>
    </row>
    <row r="561" spans="7:44" ht="15">
      <c r="G561" s="28"/>
      <c r="H561" s="28"/>
      <c r="I561" s="28"/>
      <c r="J561" s="28"/>
      <c r="N561" s="63"/>
      <c r="O561" s="63"/>
      <c r="P561" s="28"/>
      <c r="AB561" s="28"/>
      <c r="AM561" s="28"/>
      <c r="AQ561" s="4"/>
      <c r="AR561" s="4"/>
    </row>
    <row r="562" spans="7:44" ht="15">
      <c r="G562" s="28"/>
      <c r="H562" s="28"/>
      <c r="I562" s="28"/>
      <c r="J562" s="28"/>
      <c r="N562" s="63"/>
      <c r="O562" s="63"/>
      <c r="P562" s="28"/>
      <c r="AB562" s="28"/>
      <c r="AM562" s="28"/>
      <c r="AQ562" s="4"/>
      <c r="AR562" s="4"/>
    </row>
    <row r="563" spans="7:44" ht="15">
      <c r="G563" s="28"/>
      <c r="H563" s="28"/>
      <c r="I563" s="28"/>
      <c r="J563" s="28"/>
      <c r="N563" s="63"/>
      <c r="O563" s="63"/>
      <c r="P563" s="28"/>
      <c r="AB563" s="28"/>
      <c r="AM563" s="28"/>
      <c r="AQ563" s="4"/>
      <c r="AR563" s="4"/>
    </row>
    <row r="564" spans="7:44" ht="15">
      <c r="G564" s="28"/>
      <c r="H564" s="28"/>
      <c r="I564" s="28"/>
      <c r="J564" s="28"/>
      <c r="N564" s="63"/>
      <c r="O564" s="63"/>
      <c r="P564" s="28"/>
      <c r="AB564" s="28"/>
      <c r="AM564" s="28"/>
      <c r="AQ564" s="4"/>
      <c r="AR564" s="4"/>
    </row>
    <row r="565" spans="7:44" ht="15">
      <c r="G565" s="28"/>
      <c r="H565" s="28"/>
      <c r="I565" s="28"/>
      <c r="J565" s="28"/>
      <c r="N565" s="63"/>
      <c r="O565" s="63"/>
      <c r="P565" s="28"/>
      <c r="AB565" s="28"/>
      <c r="AM565" s="28"/>
      <c r="AQ565" s="4"/>
      <c r="AR565" s="4"/>
    </row>
    <row r="566" spans="7:44" ht="15">
      <c r="G566" s="28"/>
      <c r="H566" s="28"/>
      <c r="I566" s="28"/>
      <c r="J566" s="28"/>
      <c r="N566" s="63"/>
      <c r="O566" s="63"/>
      <c r="P566" s="28"/>
      <c r="AB566" s="28"/>
      <c r="AM566" s="28"/>
      <c r="AQ566" s="4"/>
      <c r="AR566" s="4"/>
    </row>
    <row r="567" spans="7:44" ht="15">
      <c r="G567" s="28"/>
      <c r="H567" s="28"/>
      <c r="I567" s="28"/>
      <c r="J567" s="28"/>
      <c r="N567" s="63"/>
      <c r="O567" s="63"/>
      <c r="P567" s="28"/>
      <c r="AB567" s="28"/>
      <c r="AM567" s="28"/>
      <c r="AQ567" s="4"/>
      <c r="AR567" s="4"/>
    </row>
    <row r="568" spans="7:44" ht="15">
      <c r="G568" s="28"/>
      <c r="H568" s="28"/>
      <c r="I568" s="28"/>
      <c r="J568" s="28"/>
      <c r="N568" s="63"/>
      <c r="O568" s="63"/>
      <c r="P568" s="28"/>
      <c r="AB568" s="28"/>
      <c r="AM568" s="28"/>
      <c r="AQ568" s="4"/>
      <c r="AR568" s="4"/>
    </row>
    <row r="569" spans="7:44" ht="15">
      <c r="G569" s="28"/>
      <c r="H569" s="28"/>
      <c r="I569" s="28"/>
      <c r="J569" s="28"/>
      <c r="N569" s="63"/>
      <c r="O569" s="63"/>
      <c r="P569" s="28"/>
      <c r="AB569" s="28"/>
      <c r="AM569" s="28"/>
      <c r="AQ569" s="4"/>
      <c r="AR569" s="4"/>
    </row>
    <row r="570" spans="7:44" ht="15">
      <c r="G570" s="28"/>
      <c r="H570" s="28"/>
      <c r="I570" s="28"/>
      <c r="J570" s="28"/>
      <c r="N570" s="63"/>
      <c r="O570" s="63"/>
      <c r="P570" s="28"/>
      <c r="AB570" s="28"/>
      <c r="AM570" s="28"/>
      <c r="AQ570" s="4"/>
      <c r="AR570" s="4"/>
    </row>
    <row r="571" spans="7:44" ht="15">
      <c r="G571" s="28"/>
      <c r="H571" s="28"/>
      <c r="I571" s="28"/>
      <c r="J571" s="28"/>
      <c r="N571" s="63"/>
      <c r="O571" s="63"/>
      <c r="P571" s="28"/>
      <c r="AB571" s="28"/>
      <c r="AM571" s="28"/>
      <c r="AQ571" s="4"/>
      <c r="AR571" s="4"/>
    </row>
    <row r="572" spans="7:44" ht="15">
      <c r="G572" s="28"/>
      <c r="H572" s="28"/>
      <c r="I572" s="28"/>
      <c r="J572" s="28"/>
      <c r="N572" s="63"/>
      <c r="O572" s="63"/>
      <c r="P572" s="28"/>
      <c r="AB572" s="28"/>
      <c r="AM572" s="28"/>
      <c r="AQ572" s="4"/>
      <c r="AR572" s="4"/>
    </row>
    <row r="573" spans="7:44" ht="15">
      <c r="G573" s="28"/>
      <c r="H573" s="28"/>
      <c r="I573" s="28"/>
      <c r="J573" s="28"/>
      <c r="N573" s="63"/>
      <c r="O573" s="63"/>
      <c r="P573" s="28"/>
      <c r="AB573" s="28"/>
      <c r="AM573" s="28"/>
      <c r="AQ573" s="4"/>
      <c r="AR573" s="4"/>
    </row>
    <row r="574" spans="7:44" ht="15">
      <c r="G574" s="28"/>
      <c r="H574" s="28"/>
      <c r="I574" s="28"/>
      <c r="J574" s="28"/>
      <c r="N574" s="63"/>
      <c r="O574" s="63"/>
      <c r="P574" s="28"/>
      <c r="AB574" s="28"/>
      <c r="AM574" s="28"/>
      <c r="AQ574" s="4"/>
      <c r="AR574" s="4"/>
    </row>
    <row r="575" spans="7:44" ht="15">
      <c r="G575" s="28"/>
      <c r="H575" s="28"/>
      <c r="I575" s="28"/>
      <c r="J575" s="28"/>
      <c r="N575" s="63"/>
      <c r="O575" s="63"/>
      <c r="P575" s="28"/>
      <c r="AB575" s="28"/>
      <c r="AM575" s="28"/>
      <c r="AQ575" s="4"/>
      <c r="AR575" s="4"/>
    </row>
    <row r="576" spans="7:44" ht="15">
      <c r="G576" s="28"/>
      <c r="H576" s="28"/>
      <c r="I576" s="28"/>
      <c r="J576" s="28"/>
      <c r="N576" s="63"/>
      <c r="O576" s="63"/>
      <c r="P576" s="28"/>
      <c r="AB576" s="28"/>
      <c r="AM576" s="28"/>
      <c r="AQ576" s="4"/>
      <c r="AR576" s="4"/>
    </row>
    <row r="577" spans="7:44" ht="15">
      <c r="G577" s="28"/>
      <c r="H577" s="28"/>
      <c r="I577" s="28"/>
      <c r="J577" s="28"/>
      <c r="N577" s="63"/>
      <c r="O577" s="63"/>
      <c r="P577" s="28"/>
      <c r="AB577" s="28"/>
      <c r="AM577" s="28"/>
      <c r="AQ577" s="4"/>
      <c r="AR577" s="4"/>
    </row>
    <row r="578" spans="7:44" ht="15">
      <c r="G578" s="28"/>
      <c r="H578" s="28"/>
      <c r="I578" s="28"/>
      <c r="J578" s="28"/>
      <c r="N578" s="63"/>
      <c r="O578" s="63"/>
      <c r="P578" s="28"/>
      <c r="AB578" s="28"/>
      <c r="AM578" s="28"/>
      <c r="AQ578" s="4"/>
      <c r="AR578" s="4"/>
    </row>
    <row r="579" spans="7:44" ht="15">
      <c r="G579" s="28"/>
      <c r="H579" s="28"/>
      <c r="I579" s="28"/>
      <c r="J579" s="28"/>
      <c r="N579" s="63"/>
      <c r="O579" s="63"/>
      <c r="P579" s="28"/>
      <c r="AB579" s="28"/>
      <c r="AM579" s="28"/>
      <c r="AQ579" s="4"/>
      <c r="AR579" s="4"/>
    </row>
    <row r="580" spans="7:44" ht="15">
      <c r="G580" s="28"/>
      <c r="H580" s="28"/>
      <c r="I580" s="28"/>
      <c r="J580" s="28"/>
      <c r="N580" s="63"/>
      <c r="O580" s="63"/>
      <c r="P580" s="28"/>
      <c r="AB580" s="28"/>
      <c r="AM580" s="28"/>
      <c r="AQ580" s="4"/>
      <c r="AR580" s="4"/>
    </row>
    <row r="581" spans="7:44" ht="15">
      <c r="G581" s="28"/>
      <c r="H581" s="28"/>
      <c r="I581" s="28"/>
      <c r="J581" s="28"/>
      <c r="N581" s="63"/>
      <c r="O581" s="63"/>
      <c r="P581" s="28"/>
      <c r="AB581" s="28"/>
      <c r="AM581" s="28"/>
      <c r="AQ581" s="4"/>
      <c r="AR581" s="4"/>
    </row>
    <row r="582" spans="7:44" ht="15">
      <c r="G582" s="28"/>
      <c r="H582" s="28"/>
      <c r="I582" s="28"/>
      <c r="J582" s="28"/>
      <c r="N582" s="63"/>
      <c r="O582" s="63"/>
      <c r="P582" s="28"/>
      <c r="AB582" s="28"/>
      <c r="AM582" s="28"/>
      <c r="AQ582" s="4"/>
      <c r="AR582" s="4"/>
    </row>
    <row r="583" spans="7:44" ht="15">
      <c r="G583" s="28"/>
      <c r="H583" s="28"/>
      <c r="I583" s="28"/>
      <c r="J583" s="28"/>
      <c r="N583" s="63"/>
      <c r="O583" s="63"/>
      <c r="P583" s="28"/>
      <c r="AB583" s="28"/>
      <c r="AM583" s="28"/>
      <c r="AQ583" s="4"/>
      <c r="AR583" s="4"/>
    </row>
    <row r="584" spans="7:44" ht="15">
      <c r="G584" s="28"/>
      <c r="H584" s="28"/>
      <c r="I584" s="28"/>
      <c r="J584" s="28"/>
      <c r="N584" s="63"/>
      <c r="O584" s="63"/>
      <c r="P584" s="28"/>
      <c r="AB584" s="28"/>
      <c r="AM584" s="28"/>
      <c r="AQ584" s="4"/>
      <c r="AR584" s="4"/>
    </row>
    <row r="585" spans="7:44" ht="15">
      <c r="G585" s="28"/>
      <c r="H585" s="28"/>
      <c r="I585" s="28"/>
      <c r="J585" s="28"/>
      <c r="N585" s="63"/>
      <c r="O585" s="63"/>
      <c r="P585" s="28"/>
      <c r="AB585" s="28"/>
      <c r="AM585" s="28"/>
      <c r="AQ585" s="4"/>
      <c r="AR585" s="4"/>
    </row>
    <row r="586" spans="7:44" ht="15">
      <c r="G586" s="28"/>
      <c r="H586" s="28"/>
      <c r="I586" s="28"/>
      <c r="J586" s="28"/>
      <c r="N586" s="63"/>
      <c r="O586" s="63"/>
      <c r="P586" s="28"/>
      <c r="AB586" s="28"/>
      <c r="AM586" s="28"/>
      <c r="AQ586" s="4"/>
      <c r="AR586" s="4"/>
    </row>
    <row r="587" spans="7:44" ht="15">
      <c r="G587" s="28"/>
      <c r="H587" s="28"/>
      <c r="I587" s="28"/>
      <c r="J587" s="28"/>
      <c r="N587" s="63"/>
      <c r="O587" s="63"/>
      <c r="P587" s="28"/>
      <c r="AB587" s="28"/>
      <c r="AM587" s="28"/>
      <c r="AQ587" s="4"/>
      <c r="AR587" s="4"/>
    </row>
    <row r="588" spans="7:44" ht="15">
      <c r="G588" s="28"/>
      <c r="H588" s="28"/>
      <c r="I588" s="28"/>
      <c r="J588" s="28"/>
      <c r="N588" s="63"/>
      <c r="O588" s="63"/>
      <c r="P588" s="28"/>
      <c r="AB588" s="28"/>
      <c r="AM588" s="28"/>
      <c r="AQ588" s="4"/>
      <c r="AR588" s="4"/>
    </row>
    <row r="589" spans="7:44" ht="15">
      <c r="G589" s="28"/>
      <c r="H589" s="28"/>
      <c r="I589" s="28"/>
      <c r="J589" s="28"/>
      <c r="N589" s="63"/>
      <c r="O589" s="63"/>
      <c r="P589" s="28"/>
      <c r="AB589" s="28"/>
      <c r="AM589" s="28"/>
      <c r="AQ589" s="4"/>
      <c r="AR589" s="4"/>
    </row>
    <row r="590" spans="7:44" ht="15">
      <c r="G590" s="28"/>
      <c r="H590" s="28"/>
      <c r="I590" s="28"/>
      <c r="J590" s="28"/>
      <c r="N590" s="63"/>
      <c r="O590" s="63"/>
      <c r="P590" s="28"/>
      <c r="AB590" s="28"/>
      <c r="AM590" s="28"/>
      <c r="AQ590" s="4"/>
      <c r="AR590" s="4"/>
    </row>
    <row r="591" spans="7:44" ht="13">
      <c r="G591" s="28"/>
      <c r="H591" s="28"/>
      <c r="I591" s="28"/>
      <c r="J591" s="28"/>
      <c r="N591" s="63"/>
      <c r="O591" s="63"/>
      <c r="P591" s="28"/>
      <c r="AB591" s="28"/>
      <c r="AM591" s="28"/>
    </row>
    <row r="592" spans="7:44" ht="13">
      <c r="G592" s="28"/>
      <c r="H592" s="28"/>
      <c r="I592" s="28"/>
      <c r="J592" s="28"/>
      <c r="N592" s="63"/>
      <c r="O592" s="63"/>
      <c r="P592" s="28"/>
      <c r="AB592" s="28"/>
      <c r="AM592" s="28"/>
    </row>
    <row r="593" spans="7:39" ht="13">
      <c r="G593" s="28"/>
      <c r="H593" s="28"/>
      <c r="I593" s="28"/>
      <c r="J593" s="28"/>
      <c r="N593" s="63"/>
      <c r="O593" s="63"/>
      <c r="P593" s="28"/>
      <c r="AB593" s="28"/>
      <c r="AM593" s="28"/>
    </row>
    <row r="594" spans="7:39" ht="13">
      <c r="G594" s="28"/>
      <c r="H594" s="28"/>
      <c r="I594" s="28"/>
      <c r="J594" s="28"/>
      <c r="N594" s="63"/>
      <c r="O594" s="63"/>
      <c r="P594" s="28"/>
      <c r="AB594" s="28"/>
      <c r="AM594" s="28"/>
    </row>
    <row r="595" spans="7:39" ht="13">
      <c r="G595" s="28"/>
      <c r="H595" s="28"/>
      <c r="I595" s="28"/>
      <c r="J595" s="28"/>
      <c r="N595" s="63"/>
      <c r="O595" s="63"/>
      <c r="P595" s="28"/>
      <c r="AB595" s="28"/>
      <c r="AM595" s="28"/>
    </row>
    <row r="596" spans="7:39" ht="13">
      <c r="G596" s="28"/>
      <c r="H596" s="28"/>
      <c r="I596" s="28"/>
      <c r="J596" s="28"/>
      <c r="N596" s="63"/>
      <c r="O596" s="63"/>
      <c r="P596" s="28"/>
      <c r="AB596" s="28"/>
      <c r="AM596" s="28"/>
    </row>
    <row r="597" spans="7:39" ht="13">
      <c r="G597" s="28"/>
      <c r="H597" s="28"/>
      <c r="I597" s="28"/>
      <c r="J597" s="28"/>
      <c r="N597" s="63"/>
      <c r="O597" s="63"/>
      <c r="P597" s="28"/>
      <c r="AB597" s="28"/>
      <c r="AM597" s="28"/>
    </row>
    <row r="598" spans="7:39" ht="13">
      <c r="G598" s="28"/>
      <c r="H598" s="28"/>
      <c r="I598" s="28"/>
      <c r="J598" s="28"/>
      <c r="N598" s="63"/>
      <c r="O598" s="63"/>
      <c r="P598" s="28"/>
      <c r="AB598" s="28"/>
      <c r="AM598" s="28"/>
    </row>
    <row r="599" spans="7:39" ht="13">
      <c r="G599" s="28"/>
      <c r="H599" s="28"/>
      <c r="I599" s="28"/>
      <c r="J599" s="28"/>
      <c r="N599" s="63"/>
      <c r="O599" s="63"/>
      <c r="P599" s="28"/>
      <c r="AB599" s="28"/>
      <c r="AM599" s="28"/>
    </row>
    <row r="600" spans="7:39" ht="13">
      <c r="G600" s="28"/>
      <c r="H600" s="28"/>
      <c r="I600" s="28"/>
      <c r="J600" s="28"/>
      <c r="N600" s="63"/>
      <c r="O600" s="63"/>
      <c r="P600" s="28"/>
      <c r="AB600" s="28"/>
      <c r="AM600" s="28"/>
    </row>
    <row r="601" spans="7:39" ht="13">
      <c r="G601" s="28"/>
      <c r="H601" s="28"/>
      <c r="I601" s="28"/>
      <c r="J601" s="28"/>
      <c r="N601" s="63"/>
      <c r="O601" s="63"/>
      <c r="P601" s="28"/>
      <c r="AB601" s="28"/>
      <c r="AM601" s="28"/>
    </row>
    <row r="602" spans="7:39" ht="13">
      <c r="G602" s="28"/>
      <c r="H602" s="28"/>
      <c r="I602" s="28"/>
      <c r="J602" s="28"/>
      <c r="N602" s="63"/>
      <c r="O602" s="63"/>
      <c r="P602" s="28"/>
      <c r="AB602" s="28"/>
      <c r="AM602" s="28"/>
    </row>
    <row r="603" spans="7:39" ht="13">
      <c r="G603" s="28"/>
      <c r="H603" s="28"/>
      <c r="I603" s="28"/>
      <c r="J603" s="28"/>
      <c r="N603" s="63"/>
      <c r="O603" s="63"/>
      <c r="P603" s="28"/>
      <c r="AB603" s="28"/>
      <c r="AM603" s="28"/>
    </row>
    <row r="604" spans="7:39" ht="13">
      <c r="G604" s="28"/>
      <c r="H604" s="28"/>
      <c r="I604" s="28"/>
      <c r="J604" s="28"/>
      <c r="N604" s="63"/>
      <c r="O604" s="63"/>
      <c r="P604" s="28"/>
      <c r="AB604" s="28"/>
      <c r="AM604" s="28"/>
    </row>
    <row r="605" spans="7:39" ht="13">
      <c r="G605" s="28"/>
      <c r="H605" s="28"/>
      <c r="I605" s="28"/>
      <c r="J605" s="28"/>
      <c r="N605" s="63"/>
      <c r="O605" s="63"/>
      <c r="P605" s="28"/>
      <c r="AB605" s="28"/>
      <c r="AM605" s="28"/>
    </row>
    <row r="606" spans="7:39" ht="13">
      <c r="G606" s="28"/>
      <c r="H606" s="28"/>
      <c r="I606" s="28"/>
      <c r="J606" s="28"/>
      <c r="N606" s="63"/>
      <c r="O606" s="63"/>
      <c r="P606" s="28"/>
      <c r="AB606" s="28"/>
      <c r="AM606" s="28"/>
    </row>
    <row r="607" spans="7:39" ht="13">
      <c r="G607" s="28"/>
      <c r="H607" s="28"/>
      <c r="I607" s="28"/>
      <c r="J607" s="28"/>
      <c r="N607" s="63"/>
      <c r="O607" s="63"/>
      <c r="P607" s="28"/>
      <c r="AB607" s="28"/>
      <c r="AM607" s="28"/>
    </row>
    <row r="608" spans="7:39" ht="13">
      <c r="G608" s="28"/>
      <c r="H608" s="28"/>
      <c r="I608" s="28"/>
      <c r="J608" s="28"/>
      <c r="N608" s="63"/>
      <c r="O608" s="63"/>
      <c r="P608" s="28"/>
      <c r="AB608" s="28"/>
      <c r="AM608" s="28"/>
    </row>
    <row r="609" spans="7:39" ht="13">
      <c r="G609" s="28"/>
      <c r="H609" s="28"/>
      <c r="I609" s="28"/>
      <c r="J609" s="28"/>
      <c r="N609" s="63"/>
      <c r="O609" s="63"/>
      <c r="P609" s="28"/>
      <c r="AB609" s="28"/>
      <c r="AM609" s="28"/>
    </row>
    <row r="610" spans="7:39" ht="13">
      <c r="G610" s="28"/>
      <c r="H610" s="28"/>
      <c r="I610" s="28"/>
      <c r="J610" s="28"/>
      <c r="N610" s="63"/>
      <c r="O610" s="63"/>
      <c r="P610" s="28"/>
      <c r="AB610" s="28"/>
      <c r="AM610" s="28"/>
    </row>
    <row r="611" spans="7:39" ht="13">
      <c r="G611" s="28"/>
      <c r="H611" s="28"/>
      <c r="I611" s="28"/>
      <c r="J611" s="28"/>
      <c r="N611" s="63"/>
      <c r="O611" s="63"/>
      <c r="P611" s="28"/>
      <c r="AB611" s="28"/>
      <c r="AM611" s="28"/>
    </row>
    <row r="612" spans="7:39" ht="13">
      <c r="G612" s="28"/>
      <c r="H612" s="28"/>
      <c r="I612" s="28"/>
      <c r="J612" s="28"/>
      <c r="N612" s="63"/>
      <c r="O612" s="63"/>
      <c r="P612" s="28"/>
      <c r="AB612" s="28"/>
      <c r="AM612" s="28"/>
    </row>
    <row r="613" spans="7:39" ht="13">
      <c r="G613" s="28"/>
      <c r="H613" s="28"/>
      <c r="I613" s="28"/>
      <c r="J613" s="28"/>
      <c r="N613" s="63"/>
      <c r="O613" s="63"/>
      <c r="P613" s="28"/>
      <c r="AB613" s="28"/>
      <c r="AM613" s="28"/>
    </row>
    <row r="614" spans="7:39" ht="13">
      <c r="G614" s="28"/>
      <c r="H614" s="28"/>
      <c r="I614" s="28"/>
      <c r="J614" s="28"/>
      <c r="N614" s="63"/>
      <c r="O614" s="63"/>
      <c r="P614" s="28"/>
      <c r="AB614" s="28"/>
      <c r="AM614" s="28"/>
    </row>
    <row r="615" spans="7:39" ht="13">
      <c r="G615" s="28"/>
      <c r="H615" s="28"/>
      <c r="I615" s="28"/>
      <c r="J615" s="28"/>
      <c r="N615" s="63"/>
      <c r="O615" s="63"/>
      <c r="P615" s="28"/>
      <c r="AB615" s="28"/>
      <c r="AM615" s="28"/>
    </row>
    <row r="616" spans="7:39" ht="13">
      <c r="G616" s="28"/>
      <c r="H616" s="28"/>
      <c r="I616" s="28"/>
      <c r="J616" s="28"/>
      <c r="N616" s="63"/>
      <c r="O616" s="63"/>
      <c r="P616" s="28"/>
      <c r="AB616" s="28"/>
      <c r="AM616" s="28"/>
    </row>
    <row r="617" spans="7:39" ht="13">
      <c r="G617" s="28"/>
      <c r="H617" s="28"/>
      <c r="I617" s="28"/>
      <c r="J617" s="28"/>
      <c r="N617" s="63"/>
      <c r="O617" s="63"/>
      <c r="P617" s="28"/>
      <c r="AB617" s="28"/>
      <c r="AM617" s="28"/>
    </row>
    <row r="618" spans="7:39" ht="13">
      <c r="G618" s="28"/>
      <c r="H618" s="28"/>
      <c r="I618" s="28"/>
      <c r="J618" s="28"/>
      <c r="N618" s="63"/>
      <c r="O618" s="63"/>
      <c r="P618" s="28"/>
      <c r="AB618" s="28"/>
      <c r="AM618" s="28"/>
    </row>
    <row r="619" spans="7:39" ht="13">
      <c r="G619" s="28"/>
      <c r="H619" s="28"/>
      <c r="I619" s="28"/>
      <c r="J619" s="28"/>
      <c r="N619" s="63"/>
      <c r="O619" s="63"/>
      <c r="P619" s="28"/>
      <c r="AB619" s="28"/>
      <c r="AM619" s="28"/>
    </row>
    <row r="620" spans="7:39" ht="13">
      <c r="G620" s="28"/>
      <c r="H620" s="28"/>
      <c r="I620" s="28"/>
      <c r="J620" s="28"/>
      <c r="N620" s="63"/>
      <c r="O620" s="63"/>
      <c r="P620" s="28"/>
      <c r="AB620" s="28"/>
      <c r="AM620" s="28"/>
    </row>
    <row r="621" spans="7:39" ht="13">
      <c r="G621" s="28"/>
      <c r="H621" s="28"/>
      <c r="I621" s="28"/>
      <c r="J621" s="28"/>
      <c r="N621" s="63"/>
      <c r="O621" s="63"/>
      <c r="P621" s="28"/>
      <c r="AB621" s="28"/>
      <c r="AM621" s="28"/>
    </row>
    <row r="622" spans="7:39" ht="13">
      <c r="G622" s="28"/>
      <c r="H622" s="28"/>
      <c r="I622" s="28"/>
      <c r="J622" s="28"/>
      <c r="N622" s="63"/>
      <c r="O622" s="63"/>
      <c r="P622" s="28"/>
      <c r="AB622" s="28"/>
      <c r="AM622" s="28"/>
    </row>
    <row r="623" spans="7:39" ht="13">
      <c r="G623" s="28"/>
      <c r="H623" s="28"/>
      <c r="I623" s="28"/>
      <c r="J623" s="28"/>
      <c r="N623" s="63"/>
      <c r="O623" s="63"/>
      <c r="P623" s="28"/>
      <c r="AB623" s="28"/>
      <c r="AM623" s="28"/>
    </row>
    <row r="624" spans="7:39" ht="13">
      <c r="G624" s="28"/>
      <c r="H624" s="28"/>
      <c r="I624" s="28"/>
      <c r="J624" s="28"/>
      <c r="N624" s="63"/>
      <c r="O624" s="63"/>
      <c r="P624" s="28"/>
      <c r="AB624" s="28"/>
      <c r="AM624" s="28"/>
    </row>
    <row r="625" spans="7:39" ht="13">
      <c r="G625" s="28"/>
      <c r="H625" s="28"/>
      <c r="I625" s="28"/>
      <c r="J625" s="28"/>
      <c r="N625" s="63"/>
      <c r="O625" s="63"/>
      <c r="P625" s="28"/>
      <c r="AB625" s="28"/>
      <c r="AM625" s="28"/>
    </row>
    <row r="626" spans="7:39" ht="13">
      <c r="G626" s="28"/>
      <c r="H626" s="28"/>
      <c r="I626" s="28"/>
      <c r="J626" s="28"/>
      <c r="N626" s="63"/>
      <c r="O626" s="63"/>
      <c r="P626" s="28"/>
      <c r="AB626" s="28"/>
      <c r="AM626" s="28"/>
    </row>
    <row r="627" spans="7:39" ht="13">
      <c r="G627" s="28"/>
      <c r="H627" s="28"/>
      <c r="I627" s="28"/>
      <c r="J627" s="28"/>
      <c r="N627" s="63"/>
      <c r="O627" s="63"/>
      <c r="P627" s="28"/>
      <c r="AB627" s="28"/>
      <c r="AM627" s="28"/>
    </row>
    <row r="628" spans="7:39" ht="13">
      <c r="G628" s="28"/>
      <c r="H628" s="28"/>
      <c r="I628" s="28"/>
      <c r="J628" s="28"/>
      <c r="N628" s="63"/>
      <c r="O628" s="63"/>
      <c r="P628" s="28"/>
      <c r="AB628" s="28"/>
      <c r="AM628" s="28"/>
    </row>
    <row r="629" spans="7:39" ht="13">
      <c r="G629" s="28"/>
      <c r="H629" s="28"/>
      <c r="I629" s="28"/>
      <c r="J629" s="28"/>
      <c r="N629" s="63"/>
      <c r="O629" s="63"/>
      <c r="P629" s="28"/>
      <c r="AB629" s="28"/>
      <c r="AM629" s="28"/>
    </row>
    <row r="630" spans="7:39" ht="13">
      <c r="G630" s="28"/>
      <c r="H630" s="28"/>
      <c r="I630" s="28"/>
      <c r="J630" s="28"/>
      <c r="N630" s="63"/>
      <c r="O630" s="63"/>
      <c r="P630" s="28"/>
      <c r="AB630" s="28"/>
      <c r="AM630" s="28"/>
    </row>
    <row r="631" spans="7:39" ht="13">
      <c r="G631" s="28"/>
      <c r="H631" s="28"/>
      <c r="I631" s="28"/>
      <c r="J631" s="28"/>
      <c r="N631" s="63"/>
      <c r="O631" s="63"/>
      <c r="P631" s="28"/>
      <c r="AB631" s="28"/>
      <c r="AM631" s="28"/>
    </row>
    <row r="632" spans="7:39" ht="13">
      <c r="G632" s="28"/>
      <c r="H632" s="28"/>
      <c r="I632" s="28"/>
      <c r="J632" s="28"/>
      <c r="N632" s="63"/>
      <c r="O632" s="63"/>
      <c r="P632" s="28"/>
      <c r="AB632" s="28"/>
      <c r="AM632" s="28"/>
    </row>
    <row r="633" spans="7:39" ht="13">
      <c r="G633" s="28"/>
      <c r="H633" s="28"/>
      <c r="I633" s="28"/>
      <c r="J633" s="28"/>
      <c r="N633" s="63"/>
      <c r="O633" s="63"/>
      <c r="P633" s="28"/>
      <c r="AB633" s="28"/>
      <c r="AM633" s="28"/>
    </row>
    <row r="634" spans="7:39" ht="13">
      <c r="G634" s="28"/>
      <c r="H634" s="28"/>
      <c r="I634" s="28"/>
      <c r="J634" s="28"/>
      <c r="N634" s="63"/>
      <c r="O634" s="63"/>
      <c r="P634" s="28"/>
      <c r="AB634" s="28"/>
      <c r="AM634" s="28"/>
    </row>
    <row r="635" spans="7:39" ht="13">
      <c r="G635" s="28"/>
      <c r="H635" s="28"/>
      <c r="I635" s="28"/>
      <c r="J635" s="28"/>
      <c r="N635" s="63"/>
      <c r="O635" s="63"/>
      <c r="P635" s="28"/>
      <c r="AB635" s="28"/>
      <c r="AM635" s="28"/>
    </row>
    <row r="636" spans="7:39" ht="13">
      <c r="G636" s="28"/>
      <c r="H636" s="28"/>
      <c r="I636" s="28"/>
      <c r="J636" s="28"/>
      <c r="N636" s="63"/>
      <c r="O636" s="63"/>
      <c r="P636" s="28"/>
      <c r="AB636" s="28"/>
      <c r="AM636" s="28"/>
    </row>
    <row r="637" spans="7:39" ht="13">
      <c r="G637" s="28"/>
      <c r="H637" s="28"/>
      <c r="I637" s="28"/>
      <c r="J637" s="28"/>
      <c r="N637" s="63"/>
      <c r="O637" s="63"/>
      <c r="P637" s="28"/>
      <c r="AB637" s="28"/>
      <c r="AM637" s="28"/>
    </row>
    <row r="638" spans="7:39" ht="13">
      <c r="G638" s="28"/>
      <c r="H638" s="28"/>
      <c r="I638" s="28"/>
      <c r="J638" s="28"/>
      <c r="N638" s="63"/>
      <c r="O638" s="63"/>
      <c r="P638" s="28"/>
      <c r="AB638" s="28"/>
      <c r="AM638" s="28"/>
    </row>
    <row r="639" spans="7:39" ht="13">
      <c r="G639" s="28"/>
      <c r="H639" s="28"/>
      <c r="I639" s="28"/>
      <c r="J639" s="28"/>
      <c r="N639" s="63"/>
      <c r="O639" s="63"/>
      <c r="P639" s="28"/>
      <c r="AB639" s="28"/>
      <c r="AM639" s="28"/>
    </row>
    <row r="640" spans="7:39" ht="13">
      <c r="G640" s="28"/>
      <c r="H640" s="28"/>
      <c r="I640" s="28"/>
      <c r="J640" s="28"/>
      <c r="N640" s="63"/>
      <c r="O640" s="63"/>
      <c r="P640" s="28"/>
      <c r="AB640" s="28"/>
      <c r="AM640" s="28"/>
    </row>
    <row r="641" spans="7:39" ht="13">
      <c r="G641" s="28"/>
      <c r="H641" s="28"/>
      <c r="I641" s="28"/>
      <c r="J641" s="28"/>
      <c r="N641" s="63"/>
      <c r="O641" s="63"/>
      <c r="P641" s="28"/>
      <c r="AB641" s="28"/>
      <c r="AM641" s="28"/>
    </row>
    <row r="642" spans="7:39" ht="13">
      <c r="G642" s="28"/>
      <c r="H642" s="28"/>
      <c r="I642" s="28"/>
      <c r="J642" s="28"/>
      <c r="N642" s="63"/>
      <c r="O642" s="63"/>
      <c r="P642" s="28"/>
      <c r="AB642" s="28"/>
      <c r="AM642" s="28"/>
    </row>
    <row r="643" spans="7:39" ht="13">
      <c r="G643" s="28"/>
      <c r="H643" s="28"/>
      <c r="I643" s="28"/>
      <c r="J643" s="28"/>
      <c r="N643" s="63"/>
      <c r="O643" s="63"/>
      <c r="P643" s="28"/>
      <c r="AB643" s="28"/>
      <c r="AM643" s="28"/>
    </row>
    <row r="644" spans="7:39" ht="13">
      <c r="G644" s="28"/>
      <c r="H644" s="28"/>
      <c r="I644" s="28"/>
      <c r="J644" s="28"/>
      <c r="N644" s="63"/>
      <c r="O644" s="63"/>
      <c r="P644" s="28"/>
      <c r="AB644" s="28"/>
      <c r="AM644" s="28"/>
    </row>
    <row r="645" spans="7:39" ht="13">
      <c r="G645" s="28"/>
      <c r="H645" s="28"/>
      <c r="I645" s="28"/>
      <c r="J645" s="28"/>
      <c r="N645" s="63"/>
      <c r="O645" s="63"/>
      <c r="P645" s="28"/>
      <c r="AB645" s="28"/>
      <c r="AM645" s="28"/>
    </row>
    <row r="646" spans="7:39" ht="13">
      <c r="G646" s="28"/>
      <c r="H646" s="28"/>
      <c r="I646" s="28"/>
      <c r="J646" s="28"/>
      <c r="N646" s="63"/>
      <c r="O646" s="63"/>
      <c r="P646" s="28"/>
      <c r="AB646" s="28"/>
      <c r="AM646" s="28"/>
    </row>
    <row r="647" spans="7:39" ht="13">
      <c r="G647" s="28"/>
      <c r="H647" s="28"/>
      <c r="I647" s="28"/>
      <c r="J647" s="28"/>
      <c r="N647" s="63"/>
      <c r="O647" s="63"/>
      <c r="P647" s="28"/>
      <c r="AB647" s="28"/>
      <c r="AM647" s="28"/>
    </row>
    <row r="648" spans="7:39" ht="13">
      <c r="G648" s="28"/>
      <c r="H648" s="28"/>
      <c r="I648" s="28"/>
      <c r="J648" s="28"/>
      <c r="N648" s="63"/>
      <c r="O648" s="63"/>
      <c r="P648" s="28"/>
      <c r="AB648" s="28"/>
      <c r="AM648" s="28"/>
    </row>
    <row r="649" spans="7:39" ht="13">
      <c r="G649" s="28"/>
      <c r="H649" s="28"/>
      <c r="I649" s="28"/>
      <c r="J649" s="28"/>
      <c r="N649" s="63"/>
      <c r="O649" s="63"/>
      <c r="P649" s="28"/>
      <c r="AB649" s="28"/>
      <c r="AM649" s="28"/>
    </row>
    <row r="650" spans="7:39" ht="13">
      <c r="G650" s="28"/>
      <c r="H650" s="28"/>
      <c r="I650" s="28"/>
      <c r="J650" s="28"/>
      <c r="N650" s="63"/>
      <c r="O650" s="63"/>
      <c r="P650" s="28"/>
      <c r="AB650" s="28"/>
      <c r="AM650" s="28"/>
    </row>
    <row r="651" spans="7:39" ht="13">
      <c r="G651" s="28"/>
      <c r="H651" s="28"/>
      <c r="I651" s="28"/>
      <c r="J651" s="28"/>
      <c r="N651" s="63"/>
      <c r="O651" s="63"/>
      <c r="P651" s="28"/>
      <c r="AB651" s="28"/>
      <c r="AM651" s="28"/>
    </row>
    <row r="652" spans="7:39" ht="13">
      <c r="G652" s="28"/>
      <c r="H652" s="28"/>
      <c r="I652" s="28"/>
      <c r="J652" s="28"/>
      <c r="N652" s="63"/>
      <c r="O652" s="63"/>
      <c r="P652" s="28"/>
      <c r="AB652" s="28"/>
      <c r="AM652" s="28"/>
    </row>
    <row r="653" spans="7:39" ht="13">
      <c r="G653" s="28"/>
      <c r="H653" s="28"/>
      <c r="I653" s="28"/>
      <c r="J653" s="28"/>
      <c r="N653" s="63"/>
      <c r="O653" s="63"/>
      <c r="P653" s="28"/>
      <c r="AB653" s="28"/>
      <c r="AM653" s="28"/>
    </row>
    <row r="654" spans="7:39" ht="13">
      <c r="G654" s="28"/>
      <c r="H654" s="28"/>
      <c r="I654" s="28"/>
      <c r="J654" s="28"/>
      <c r="N654" s="63"/>
      <c r="O654" s="63"/>
      <c r="P654" s="28"/>
      <c r="AB654" s="28"/>
      <c r="AM654" s="28"/>
    </row>
    <row r="655" spans="7:39" ht="13">
      <c r="G655" s="28"/>
      <c r="H655" s="28"/>
      <c r="I655" s="28"/>
      <c r="J655" s="28"/>
      <c r="N655" s="63"/>
      <c r="O655" s="63"/>
      <c r="P655" s="28"/>
      <c r="AB655" s="28"/>
      <c r="AM655" s="28"/>
    </row>
    <row r="656" spans="7:39" ht="13">
      <c r="G656" s="28"/>
      <c r="H656" s="28"/>
      <c r="I656" s="28"/>
      <c r="J656" s="28"/>
      <c r="N656" s="63"/>
      <c r="O656" s="63"/>
      <c r="P656" s="28"/>
      <c r="AB656" s="28"/>
      <c r="AM656" s="28"/>
    </row>
    <row r="657" spans="7:39" ht="13">
      <c r="G657" s="28"/>
      <c r="H657" s="28"/>
      <c r="I657" s="28"/>
      <c r="J657" s="28"/>
      <c r="N657" s="63"/>
      <c r="O657" s="63"/>
      <c r="P657" s="28"/>
      <c r="AB657" s="28"/>
      <c r="AM657" s="28"/>
    </row>
    <row r="658" spans="7:39" ht="13">
      <c r="G658" s="28"/>
      <c r="H658" s="28"/>
      <c r="I658" s="28"/>
      <c r="J658" s="28"/>
      <c r="N658" s="63"/>
      <c r="O658" s="63"/>
      <c r="P658" s="28"/>
      <c r="AB658" s="28"/>
      <c r="AM658" s="28"/>
    </row>
    <row r="659" spans="7:39" ht="13">
      <c r="G659" s="28"/>
      <c r="H659" s="28"/>
      <c r="I659" s="28"/>
      <c r="J659" s="28"/>
      <c r="N659" s="63"/>
      <c r="O659" s="63"/>
      <c r="P659" s="28"/>
      <c r="AB659" s="28"/>
      <c r="AM659" s="28"/>
    </row>
    <row r="660" spans="7:39" ht="13">
      <c r="G660" s="28"/>
      <c r="H660" s="28"/>
      <c r="I660" s="28"/>
      <c r="J660" s="28"/>
      <c r="N660" s="63"/>
      <c r="O660" s="63"/>
      <c r="P660" s="28"/>
      <c r="AB660" s="28"/>
      <c r="AM660" s="28"/>
    </row>
    <row r="661" spans="7:39" ht="13">
      <c r="G661" s="28"/>
      <c r="H661" s="28"/>
      <c r="I661" s="28"/>
      <c r="J661" s="28"/>
      <c r="N661" s="63"/>
      <c r="O661" s="63"/>
      <c r="P661" s="28"/>
      <c r="AB661" s="28"/>
      <c r="AM661" s="28"/>
    </row>
    <row r="662" spans="7:39" ht="13">
      <c r="G662" s="28"/>
      <c r="H662" s="28"/>
      <c r="I662" s="28"/>
      <c r="J662" s="28"/>
      <c r="N662" s="63"/>
      <c r="O662" s="63"/>
      <c r="P662" s="28"/>
      <c r="AB662" s="28"/>
      <c r="AM662" s="28"/>
    </row>
    <row r="663" spans="7:39" ht="13">
      <c r="G663" s="28"/>
      <c r="H663" s="28"/>
      <c r="I663" s="28"/>
      <c r="J663" s="28"/>
      <c r="N663" s="63"/>
      <c r="O663" s="63"/>
      <c r="P663" s="28"/>
      <c r="AB663" s="28"/>
      <c r="AM663" s="28"/>
    </row>
    <row r="664" spans="7:39" ht="13">
      <c r="G664" s="28"/>
      <c r="H664" s="28"/>
      <c r="I664" s="28"/>
      <c r="J664" s="28"/>
      <c r="N664" s="63"/>
      <c r="O664" s="63"/>
      <c r="P664" s="28"/>
      <c r="AB664" s="28"/>
      <c r="AM664" s="28"/>
    </row>
    <row r="665" spans="7:39" ht="13">
      <c r="G665" s="28"/>
      <c r="H665" s="28"/>
      <c r="I665" s="28"/>
      <c r="J665" s="28"/>
      <c r="N665" s="63"/>
      <c r="O665" s="63"/>
      <c r="P665" s="28"/>
      <c r="AB665" s="28"/>
      <c r="AM665" s="28"/>
    </row>
    <row r="666" spans="7:39" ht="13">
      <c r="G666" s="28"/>
      <c r="H666" s="28"/>
      <c r="I666" s="28"/>
      <c r="J666" s="28"/>
      <c r="N666" s="63"/>
      <c r="O666" s="63"/>
      <c r="P666" s="28"/>
      <c r="AB666" s="28"/>
      <c r="AM666" s="28"/>
    </row>
    <row r="667" spans="7:39" ht="13">
      <c r="G667" s="28"/>
      <c r="H667" s="28"/>
      <c r="I667" s="28"/>
      <c r="J667" s="28"/>
      <c r="N667" s="63"/>
      <c r="O667" s="63"/>
      <c r="P667" s="28"/>
      <c r="AB667" s="28"/>
      <c r="AM667" s="28"/>
    </row>
    <row r="668" spans="7:39" ht="13">
      <c r="G668" s="28"/>
      <c r="H668" s="28"/>
      <c r="I668" s="28"/>
      <c r="J668" s="28"/>
      <c r="N668" s="63"/>
      <c r="O668" s="63"/>
      <c r="P668" s="28"/>
      <c r="AB668" s="28"/>
      <c r="AM668" s="28"/>
    </row>
    <row r="669" spans="7:39" ht="13">
      <c r="G669" s="28"/>
      <c r="H669" s="28"/>
      <c r="I669" s="28"/>
      <c r="J669" s="28"/>
      <c r="N669" s="63"/>
      <c r="O669" s="63"/>
      <c r="P669" s="28"/>
      <c r="AB669" s="28"/>
      <c r="AM669" s="28"/>
    </row>
    <row r="670" spans="7:39" ht="13">
      <c r="G670" s="28"/>
      <c r="H670" s="28"/>
      <c r="I670" s="28"/>
      <c r="J670" s="28"/>
      <c r="N670" s="63"/>
      <c r="O670" s="63"/>
      <c r="P670" s="28"/>
      <c r="AB670" s="28"/>
      <c r="AM670" s="28"/>
    </row>
    <row r="671" spans="7:39" ht="13">
      <c r="G671" s="28"/>
      <c r="H671" s="28"/>
      <c r="I671" s="28"/>
      <c r="J671" s="28"/>
      <c r="N671" s="63"/>
      <c r="O671" s="63"/>
      <c r="P671" s="28"/>
      <c r="AB671" s="28"/>
      <c r="AM671" s="28"/>
    </row>
    <row r="672" spans="7:39" ht="13">
      <c r="G672" s="28"/>
      <c r="H672" s="28"/>
      <c r="I672" s="28"/>
      <c r="J672" s="28"/>
      <c r="N672" s="63"/>
      <c r="O672" s="63"/>
      <c r="P672" s="28"/>
      <c r="AB672" s="28"/>
      <c r="AM672" s="28"/>
    </row>
    <row r="673" spans="7:39" ht="13">
      <c r="G673" s="28"/>
      <c r="H673" s="28"/>
      <c r="I673" s="28"/>
      <c r="J673" s="28"/>
      <c r="N673" s="63"/>
      <c r="O673" s="63"/>
      <c r="P673" s="28"/>
      <c r="AB673" s="28"/>
      <c r="AM673" s="28"/>
    </row>
    <row r="674" spans="7:39" ht="13">
      <c r="G674" s="28"/>
      <c r="H674" s="28"/>
      <c r="I674" s="28"/>
      <c r="J674" s="28"/>
      <c r="N674" s="63"/>
      <c r="O674" s="63"/>
      <c r="P674" s="28"/>
      <c r="AB674" s="28"/>
      <c r="AM674" s="28"/>
    </row>
    <row r="675" spans="7:39" ht="13">
      <c r="G675" s="28"/>
      <c r="H675" s="28"/>
      <c r="I675" s="28"/>
      <c r="J675" s="28"/>
      <c r="N675" s="63"/>
      <c r="O675" s="63"/>
      <c r="P675" s="28"/>
      <c r="AB675" s="28"/>
      <c r="AM675" s="28"/>
    </row>
    <row r="676" spans="7:39" ht="13">
      <c r="G676" s="28"/>
      <c r="H676" s="28"/>
      <c r="I676" s="28"/>
      <c r="J676" s="28"/>
      <c r="N676" s="63"/>
      <c r="O676" s="63"/>
      <c r="P676" s="28"/>
      <c r="AB676" s="28"/>
      <c r="AM676" s="28"/>
    </row>
    <row r="677" spans="7:39" ht="13">
      <c r="G677" s="28"/>
      <c r="H677" s="28"/>
      <c r="I677" s="28"/>
      <c r="J677" s="28"/>
      <c r="N677" s="63"/>
      <c r="O677" s="63"/>
      <c r="P677" s="28"/>
      <c r="AB677" s="28"/>
      <c r="AM677" s="28"/>
    </row>
    <row r="678" spans="7:39" ht="13">
      <c r="G678" s="28"/>
      <c r="H678" s="28"/>
      <c r="I678" s="28"/>
      <c r="J678" s="28"/>
      <c r="N678" s="63"/>
      <c r="O678" s="63"/>
      <c r="P678" s="28"/>
      <c r="AB678" s="28"/>
      <c r="AM678" s="28"/>
    </row>
    <row r="679" spans="7:39" ht="13">
      <c r="G679" s="28"/>
      <c r="H679" s="28"/>
      <c r="I679" s="28"/>
      <c r="J679" s="28"/>
      <c r="N679" s="63"/>
      <c r="O679" s="63"/>
      <c r="P679" s="28"/>
      <c r="AB679" s="28"/>
      <c r="AM679" s="28"/>
    </row>
    <row r="680" spans="7:39" ht="13">
      <c r="G680" s="28"/>
      <c r="H680" s="28"/>
      <c r="I680" s="28"/>
      <c r="J680" s="28"/>
      <c r="N680" s="63"/>
      <c r="O680" s="63"/>
      <c r="P680" s="28"/>
      <c r="AB680" s="28"/>
      <c r="AM680" s="28"/>
    </row>
    <row r="681" spans="7:39" ht="13">
      <c r="G681" s="28"/>
      <c r="H681" s="28"/>
      <c r="I681" s="28"/>
      <c r="J681" s="28"/>
      <c r="N681" s="63"/>
      <c r="O681" s="63"/>
      <c r="P681" s="28"/>
      <c r="AB681" s="28"/>
      <c r="AM681" s="28"/>
    </row>
    <row r="682" spans="7:39" ht="13">
      <c r="G682" s="28"/>
      <c r="H682" s="28"/>
      <c r="I682" s="28"/>
      <c r="J682" s="28"/>
      <c r="N682" s="63"/>
      <c r="O682" s="63"/>
      <c r="P682" s="28"/>
      <c r="AB682" s="28"/>
      <c r="AM682" s="28"/>
    </row>
    <row r="683" spans="7:39" ht="13">
      <c r="G683" s="28"/>
      <c r="H683" s="28"/>
      <c r="I683" s="28"/>
      <c r="J683" s="28"/>
      <c r="N683" s="63"/>
      <c r="O683" s="63"/>
      <c r="P683" s="28"/>
      <c r="AB683" s="28"/>
      <c r="AM683" s="28"/>
    </row>
    <row r="684" spans="7:39" ht="13">
      <c r="G684" s="28"/>
      <c r="H684" s="28"/>
      <c r="I684" s="28"/>
      <c r="J684" s="28"/>
      <c r="N684" s="63"/>
      <c r="O684" s="63"/>
      <c r="P684" s="28"/>
      <c r="AB684" s="28"/>
      <c r="AM684" s="28"/>
    </row>
    <row r="685" spans="7:39" ht="13">
      <c r="G685" s="28"/>
      <c r="H685" s="28"/>
      <c r="I685" s="28"/>
      <c r="J685" s="28"/>
      <c r="N685" s="63"/>
      <c r="O685" s="63"/>
      <c r="P685" s="28"/>
      <c r="AB685" s="28"/>
      <c r="AM685" s="28"/>
    </row>
    <row r="686" spans="7:39" ht="13">
      <c r="G686" s="28"/>
      <c r="H686" s="28"/>
      <c r="I686" s="28"/>
      <c r="J686" s="28"/>
      <c r="N686" s="63"/>
      <c r="O686" s="63"/>
      <c r="P686" s="28"/>
      <c r="AB686" s="28"/>
      <c r="AM686" s="28"/>
    </row>
    <row r="687" spans="7:39" ht="13">
      <c r="G687" s="28"/>
      <c r="H687" s="28"/>
      <c r="I687" s="28"/>
      <c r="J687" s="28"/>
      <c r="N687" s="63"/>
      <c r="O687" s="63"/>
      <c r="P687" s="28"/>
      <c r="AB687" s="28"/>
      <c r="AM687" s="28"/>
    </row>
    <row r="688" spans="7:39" ht="13">
      <c r="G688" s="28"/>
      <c r="H688" s="28"/>
      <c r="I688" s="28"/>
      <c r="J688" s="28"/>
      <c r="N688" s="63"/>
      <c r="O688" s="63"/>
      <c r="P688" s="28"/>
      <c r="AB688" s="28"/>
      <c r="AM688" s="28"/>
    </row>
    <row r="689" spans="7:39" ht="13">
      <c r="G689" s="28"/>
      <c r="H689" s="28"/>
      <c r="I689" s="28"/>
      <c r="J689" s="28"/>
      <c r="N689" s="63"/>
      <c r="O689" s="63"/>
      <c r="P689" s="28"/>
      <c r="AB689" s="28"/>
      <c r="AM689" s="28"/>
    </row>
    <row r="690" spans="7:39" ht="13">
      <c r="G690" s="28"/>
      <c r="H690" s="28"/>
      <c r="I690" s="28"/>
      <c r="J690" s="28"/>
      <c r="N690" s="63"/>
      <c r="O690" s="63"/>
      <c r="P690" s="28"/>
      <c r="AB690" s="28"/>
      <c r="AM690" s="28"/>
    </row>
    <row r="691" spans="7:39" ht="13">
      <c r="G691" s="28"/>
      <c r="H691" s="28"/>
      <c r="I691" s="28"/>
      <c r="J691" s="28"/>
      <c r="N691" s="63"/>
      <c r="O691" s="63"/>
      <c r="P691" s="28"/>
      <c r="AB691" s="28"/>
      <c r="AM691" s="28"/>
    </row>
    <row r="692" spans="7:39" ht="13">
      <c r="G692" s="28"/>
      <c r="H692" s="28"/>
      <c r="I692" s="28"/>
      <c r="J692" s="28"/>
      <c r="N692" s="63"/>
      <c r="O692" s="63"/>
      <c r="P692" s="28"/>
      <c r="AB692" s="28"/>
      <c r="AM692" s="28"/>
    </row>
    <row r="693" spans="7:39" ht="13">
      <c r="G693" s="28"/>
      <c r="H693" s="28"/>
      <c r="I693" s="28"/>
      <c r="J693" s="28"/>
      <c r="N693" s="63"/>
      <c r="O693" s="63"/>
      <c r="P693" s="28"/>
      <c r="AB693" s="28"/>
      <c r="AM693" s="28"/>
    </row>
    <row r="694" spans="7:39" ht="13">
      <c r="G694" s="28"/>
      <c r="H694" s="28"/>
      <c r="I694" s="28"/>
      <c r="J694" s="28"/>
      <c r="N694" s="63"/>
      <c r="O694" s="63"/>
      <c r="P694" s="28"/>
      <c r="AB694" s="28"/>
      <c r="AM694" s="28"/>
    </row>
    <row r="695" spans="7:39" ht="13">
      <c r="G695" s="28"/>
      <c r="H695" s="28"/>
      <c r="I695" s="28"/>
      <c r="J695" s="28"/>
      <c r="N695" s="63"/>
      <c r="O695" s="63"/>
      <c r="P695" s="28"/>
      <c r="AB695" s="28"/>
      <c r="AM695" s="28"/>
    </row>
    <row r="696" spans="7:39" ht="13">
      <c r="G696" s="28"/>
      <c r="H696" s="28"/>
      <c r="I696" s="28"/>
      <c r="J696" s="28"/>
      <c r="N696" s="63"/>
      <c r="O696" s="63"/>
      <c r="P696" s="28"/>
      <c r="AB696" s="28"/>
      <c r="AM696" s="28"/>
    </row>
    <row r="697" spans="7:39" ht="13">
      <c r="G697" s="28"/>
      <c r="H697" s="28"/>
      <c r="I697" s="28"/>
      <c r="J697" s="28"/>
      <c r="N697" s="63"/>
      <c r="O697" s="63"/>
      <c r="P697" s="28"/>
      <c r="AB697" s="28"/>
      <c r="AM697" s="28"/>
    </row>
    <row r="698" spans="7:39" ht="13">
      <c r="G698" s="28"/>
      <c r="H698" s="28"/>
      <c r="I698" s="28"/>
      <c r="J698" s="28"/>
      <c r="N698" s="63"/>
      <c r="O698" s="63"/>
      <c r="P698" s="28"/>
      <c r="AB698" s="28"/>
      <c r="AM698" s="28"/>
    </row>
    <row r="699" spans="7:39" ht="13">
      <c r="G699" s="28"/>
      <c r="H699" s="28"/>
      <c r="I699" s="28"/>
      <c r="J699" s="28"/>
      <c r="N699" s="63"/>
      <c r="O699" s="63"/>
      <c r="P699" s="28"/>
      <c r="AB699" s="28"/>
      <c r="AM699" s="28"/>
    </row>
    <row r="700" spans="7:39" ht="13">
      <c r="G700" s="28"/>
      <c r="H700" s="28"/>
      <c r="I700" s="28"/>
      <c r="J700" s="28"/>
      <c r="N700" s="63"/>
      <c r="O700" s="63"/>
      <c r="P700" s="28"/>
      <c r="AB700" s="28"/>
      <c r="AM700" s="28"/>
    </row>
    <row r="701" spans="7:39" ht="13">
      <c r="G701" s="28"/>
      <c r="H701" s="28"/>
      <c r="I701" s="28"/>
      <c r="J701" s="28"/>
      <c r="N701" s="63"/>
      <c r="O701" s="63"/>
      <c r="P701" s="28"/>
      <c r="AB701" s="28"/>
      <c r="AM701" s="28"/>
    </row>
    <row r="702" spans="7:39" ht="13">
      <c r="G702" s="28"/>
      <c r="H702" s="28"/>
      <c r="I702" s="28"/>
      <c r="J702" s="28"/>
      <c r="N702" s="63"/>
      <c r="O702" s="63"/>
      <c r="P702" s="28"/>
      <c r="AB702" s="28"/>
      <c r="AM702" s="28"/>
    </row>
    <row r="703" spans="7:39" ht="13">
      <c r="G703" s="28"/>
      <c r="H703" s="28"/>
      <c r="I703" s="28"/>
      <c r="J703" s="28"/>
      <c r="N703" s="63"/>
      <c r="O703" s="63"/>
      <c r="P703" s="28"/>
      <c r="AB703" s="28"/>
      <c r="AM703" s="28"/>
    </row>
    <row r="704" spans="7:39" ht="13">
      <c r="G704" s="28"/>
      <c r="H704" s="28"/>
      <c r="I704" s="28"/>
      <c r="J704" s="28"/>
      <c r="N704" s="63"/>
      <c r="O704" s="63"/>
      <c r="P704" s="28"/>
      <c r="AB704" s="28"/>
      <c r="AM704" s="28"/>
    </row>
    <row r="705" spans="7:39" ht="13">
      <c r="G705" s="28"/>
      <c r="H705" s="28"/>
      <c r="I705" s="28"/>
      <c r="J705" s="28"/>
      <c r="N705" s="63"/>
      <c r="O705" s="63"/>
      <c r="P705" s="28"/>
      <c r="AB705" s="28"/>
      <c r="AM705" s="28"/>
    </row>
    <row r="706" spans="7:39" ht="13">
      <c r="G706" s="28"/>
      <c r="H706" s="28"/>
      <c r="I706" s="28"/>
      <c r="J706" s="28"/>
      <c r="N706" s="63"/>
      <c r="O706" s="63"/>
      <c r="P706" s="28"/>
      <c r="AB706" s="28"/>
      <c r="AM706" s="28"/>
    </row>
    <row r="707" spans="7:39" ht="13">
      <c r="G707" s="28"/>
      <c r="H707" s="28"/>
      <c r="I707" s="28"/>
      <c r="J707" s="28"/>
      <c r="N707" s="63"/>
      <c r="O707" s="63"/>
      <c r="P707" s="28"/>
      <c r="AB707" s="28"/>
      <c r="AM707" s="28"/>
    </row>
    <row r="708" spans="7:39" ht="13">
      <c r="G708" s="28"/>
      <c r="H708" s="28"/>
      <c r="I708" s="28"/>
      <c r="J708" s="28"/>
      <c r="N708" s="63"/>
      <c r="O708" s="63"/>
      <c r="P708" s="28"/>
      <c r="AB708" s="28"/>
      <c r="AM708" s="28"/>
    </row>
    <row r="709" spans="7:39" ht="13">
      <c r="G709" s="28"/>
      <c r="H709" s="28"/>
      <c r="I709" s="28"/>
      <c r="J709" s="28"/>
      <c r="N709" s="63"/>
      <c r="O709" s="63"/>
      <c r="P709" s="28"/>
      <c r="AB709" s="28"/>
      <c r="AM709" s="28"/>
    </row>
    <row r="710" spans="7:39" ht="13">
      <c r="G710" s="28"/>
      <c r="H710" s="28"/>
      <c r="I710" s="28"/>
      <c r="J710" s="28"/>
      <c r="N710" s="63"/>
      <c r="O710" s="63"/>
      <c r="P710" s="28"/>
      <c r="AB710" s="28"/>
      <c r="AM710" s="28"/>
    </row>
    <row r="711" spans="7:39" ht="13">
      <c r="G711" s="28"/>
      <c r="H711" s="28"/>
      <c r="I711" s="28"/>
      <c r="J711" s="28"/>
      <c r="N711" s="63"/>
      <c r="O711" s="63"/>
      <c r="P711" s="28"/>
      <c r="AB711" s="28"/>
      <c r="AM711" s="28"/>
    </row>
    <row r="712" spans="7:39" ht="13">
      <c r="G712" s="28"/>
      <c r="H712" s="28"/>
      <c r="I712" s="28"/>
      <c r="J712" s="28"/>
      <c r="N712" s="63"/>
      <c r="O712" s="63"/>
      <c r="P712" s="28"/>
      <c r="AB712" s="28"/>
      <c r="AM712" s="28"/>
    </row>
    <row r="713" spans="7:39" ht="13">
      <c r="G713" s="28"/>
      <c r="H713" s="28"/>
      <c r="I713" s="28"/>
      <c r="J713" s="28"/>
      <c r="N713" s="63"/>
      <c r="O713" s="63"/>
      <c r="P713" s="28"/>
      <c r="AB713" s="28"/>
      <c r="AM713" s="28"/>
    </row>
    <row r="714" spans="7:39" ht="13">
      <c r="G714" s="28"/>
      <c r="H714" s="28"/>
      <c r="I714" s="28"/>
      <c r="J714" s="28"/>
      <c r="N714" s="63"/>
      <c r="O714" s="63"/>
      <c r="P714" s="28"/>
      <c r="AB714" s="28"/>
      <c r="AM714" s="28"/>
    </row>
    <row r="715" spans="7:39" ht="13">
      <c r="G715" s="28"/>
      <c r="H715" s="28"/>
      <c r="I715" s="28"/>
      <c r="J715" s="28"/>
      <c r="N715" s="63"/>
      <c r="O715" s="63"/>
      <c r="P715" s="28"/>
      <c r="AB715" s="28"/>
      <c r="AM715" s="28"/>
    </row>
    <row r="716" spans="7:39" ht="13">
      <c r="G716" s="28"/>
      <c r="H716" s="28"/>
      <c r="I716" s="28"/>
      <c r="J716" s="28"/>
      <c r="N716" s="63"/>
      <c r="O716" s="63"/>
      <c r="P716" s="28"/>
      <c r="AB716" s="28"/>
      <c r="AM716" s="28"/>
    </row>
    <row r="717" spans="7:39" ht="13">
      <c r="G717" s="28"/>
      <c r="H717" s="28"/>
      <c r="I717" s="28"/>
      <c r="J717" s="28"/>
      <c r="N717" s="63"/>
      <c r="O717" s="63"/>
      <c r="P717" s="28"/>
      <c r="AB717" s="28"/>
      <c r="AM717" s="28"/>
    </row>
    <row r="718" spans="7:39" ht="13">
      <c r="G718" s="28"/>
      <c r="H718" s="28"/>
      <c r="I718" s="28"/>
      <c r="J718" s="28"/>
      <c r="N718" s="63"/>
      <c r="O718" s="63"/>
      <c r="P718" s="28"/>
      <c r="AB718" s="28"/>
      <c r="AM718" s="28"/>
    </row>
    <row r="719" spans="7:39" ht="13">
      <c r="G719" s="28"/>
      <c r="H719" s="28"/>
      <c r="I719" s="28"/>
      <c r="J719" s="28"/>
      <c r="N719" s="63"/>
      <c r="O719" s="63"/>
      <c r="P719" s="28"/>
      <c r="AB719" s="28"/>
      <c r="AM719" s="28"/>
    </row>
    <row r="720" spans="7:39" ht="13">
      <c r="G720" s="28"/>
      <c r="H720" s="28"/>
      <c r="I720" s="28"/>
      <c r="J720" s="28"/>
      <c r="N720" s="63"/>
      <c r="O720" s="63"/>
      <c r="P720" s="28"/>
      <c r="AB720" s="28"/>
      <c r="AM720" s="28"/>
    </row>
    <row r="721" spans="7:39" ht="13">
      <c r="G721" s="28"/>
      <c r="H721" s="28"/>
      <c r="I721" s="28"/>
      <c r="J721" s="28"/>
      <c r="N721" s="63"/>
      <c r="O721" s="63"/>
      <c r="P721" s="28"/>
      <c r="AB721" s="28"/>
      <c r="AM721" s="28"/>
    </row>
    <row r="722" spans="7:39" ht="13">
      <c r="G722" s="28"/>
      <c r="H722" s="28"/>
      <c r="I722" s="28"/>
      <c r="J722" s="28"/>
      <c r="N722" s="63"/>
      <c r="O722" s="63"/>
      <c r="P722" s="28"/>
      <c r="AB722" s="28"/>
      <c r="AM722" s="28"/>
    </row>
    <row r="723" spans="7:39" ht="13">
      <c r="G723" s="28"/>
      <c r="H723" s="28"/>
      <c r="I723" s="28"/>
      <c r="J723" s="28"/>
      <c r="N723" s="63"/>
      <c r="O723" s="63"/>
      <c r="P723" s="28"/>
      <c r="AB723" s="28"/>
      <c r="AM723" s="28"/>
    </row>
    <row r="724" spans="7:39" ht="13">
      <c r="G724" s="28"/>
      <c r="H724" s="28"/>
      <c r="I724" s="28"/>
      <c r="J724" s="28"/>
      <c r="N724" s="63"/>
      <c r="O724" s="63"/>
      <c r="P724" s="28"/>
      <c r="AB724" s="28"/>
      <c r="AM724" s="28"/>
    </row>
    <row r="725" spans="7:39" ht="13">
      <c r="G725" s="28"/>
      <c r="H725" s="28"/>
      <c r="I725" s="28"/>
      <c r="J725" s="28"/>
      <c r="N725" s="63"/>
      <c r="O725" s="63"/>
      <c r="P725" s="28"/>
      <c r="AB725" s="28"/>
      <c r="AM725" s="28"/>
    </row>
    <row r="726" spans="7:39" ht="13">
      <c r="G726" s="28"/>
      <c r="H726" s="28"/>
      <c r="I726" s="28"/>
      <c r="J726" s="28"/>
      <c r="N726" s="63"/>
      <c r="O726" s="63"/>
      <c r="P726" s="28"/>
      <c r="AB726" s="28"/>
      <c r="AM726" s="28"/>
    </row>
    <row r="727" spans="7:39" ht="13">
      <c r="G727" s="28"/>
      <c r="H727" s="28"/>
      <c r="I727" s="28"/>
      <c r="J727" s="28"/>
      <c r="N727" s="63"/>
      <c r="O727" s="63"/>
      <c r="P727" s="28"/>
      <c r="AB727" s="28"/>
      <c r="AM727" s="28"/>
    </row>
    <row r="728" spans="7:39" ht="13">
      <c r="G728" s="28"/>
      <c r="H728" s="28"/>
      <c r="I728" s="28"/>
      <c r="J728" s="28"/>
      <c r="N728" s="63"/>
      <c r="O728" s="63"/>
      <c r="P728" s="28"/>
      <c r="AB728" s="28"/>
      <c r="AM728" s="28"/>
    </row>
    <row r="729" spans="7:39" ht="13">
      <c r="G729" s="28"/>
      <c r="H729" s="28"/>
      <c r="I729" s="28"/>
      <c r="J729" s="28"/>
      <c r="N729" s="63"/>
      <c r="O729" s="63"/>
      <c r="P729" s="28"/>
      <c r="AB729" s="28"/>
      <c r="AM729" s="28"/>
    </row>
    <row r="730" spans="7:39" ht="13">
      <c r="G730" s="28"/>
      <c r="H730" s="28"/>
      <c r="I730" s="28"/>
      <c r="J730" s="28"/>
      <c r="N730" s="63"/>
      <c r="O730" s="63"/>
      <c r="P730" s="28"/>
      <c r="AB730" s="28"/>
      <c r="AM730" s="28"/>
    </row>
    <row r="731" spans="7:39" ht="13">
      <c r="G731" s="28"/>
      <c r="H731" s="28"/>
      <c r="I731" s="28"/>
      <c r="J731" s="28"/>
      <c r="N731" s="63"/>
      <c r="O731" s="63"/>
      <c r="P731" s="28"/>
      <c r="AB731" s="28"/>
      <c r="AM731" s="28"/>
    </row>
    <row r="732" spans="7:39" ht="13">
      <c r="G732" s="28"/>
      <c r="H732" s="28"/>
      <c r="I732" s="28"/>
      <c r="J732" s="28"/>
      <c r="N732" s="63"/>
      <c r="O732" s="63"/>
      <c r="P732" s="28"/>
      <c r="AB732" s="28"/>
      <c r="AM732" s="28"/>
    </row>
    <row r="733" spans="7:39" ht="13">
      <c r="G733" s="28"/>
      <c r="H733" s="28"/>
      <c r="I733" s="28"/>
      <c r="J733" s="28"/>
      <c r="N733" s="63"/>
      <c r="O733" s="63"/>
      <c r="P733" s="28"/>
      <c r="AB733" s="28"/>
      <c r="AM733" s="28"/>
    </row>
    <row r="734" spans="7:39" ht="13">
      <c r="G734" s="28"/>
      <c r="H734" s="28"/>
      <c r="I734" s="28"/>
      <c r="J734" s="28"/>
      <c r="N734" s="63"/>
      <c r="O734" s="63"/>
      <c r="P734" s="28"/>
      <c r="AB734" s="28"/>
      <c r="AM734" s="28"/>
    </row>
    <row r="735" spans="7:39" ht="13">
      <c r="G735" s="28"/>
      <c r="H735" s="28"/>
      <c r="I735" s="28"/>
      <c r="J735" s="28"/>
      <c r="N735" s="63"/>
      <c r="O735" s="63"/>
      <c r="P735" s="28"/>
      <c r="AB735" s="28"/>
      <c r="AM735" s="28"/>
    </row>
    <row r="736" spans="7:39" ht="13">
      <c r="G736" s="28"/>
      <c r="H736" s="28"/>
      <c r="I736" s="28"/>
      <c r="J736" s="28"/>
      <c r="N736" s="63"/>
      <c r="O736" s="63"/>
      <c r="P736" s="28"/>
      <c r="AB736" s="28"/>
      <c r="AM736" s="28"/>
    </row>
    <row r="737" spans="7:39" ht="13">
      <c r="G737" s="28"/>
      <c r="H737" s="28"/>
      <c r="I737" s="28"/>
      <c r="J737" s="28"/>
      <c r="N737" s="63"/>
      <c r="O737" s="63"/>
      <c r="P737" s="28"/>
      <c r="AB737" s="28"/>
      <c r="AM737" s="28"/>
    </row>
    <row r="738" spans="7:39" ht="13">
      <c r="G738" s="28"/>
      <c r="H738" s="28"/>
      <c r="I738" s="28"/>
      <c r="J738" s="28"/>
      <c r="N738" s="63"/>
      <c r="O738" s="63"/>
      <c r="P738" s="28"/>
      <c r="AB738" s="28"/>
      <c r="AM738" s="28"/>
    </row>
    <row r="739" spans="7:39" ht="13">
      <c r="G739" s="28"/>
      <c r="H739" s="28"/>
      <c r="I739" s="28"/>
      <c r="J739" s="28"/>
      <c r="N739" s="63"/>
      <c r="O739" s="63"/>
      <c r="P739" s="28"/>
      <c r="AB739" s="28"/>
      <c r="AM739" s="28"/>
    </row>
    <row r="740" spans="7:39" ht="13">
      <c r="G740" s="28"/>
      <c r="H740" s="28"/>
      <c r="I740" s="28"/>
      <c r="J740" s="28"/>
      <c r="N740" s="63"/>
      <c r="O740" s="63"/>
      <c r="P740" s="28"/>
      <c r="AB740" s="28"/>
      <c r="AM740" s="28"/>
    </row>
    <row r="741" spans="7:39" ht="13">
      <c r="G741" s="28"/>
      <c r="H741" s="28"/>
      <c r="I741" s="28"/>
      <c r="J741" s="28"/>
      <c r="N741" s="63"/>
      <c r="O741" s="63"/>
      <c r="P741" s="28"/>
      <c r="AB741" s="28"/>
      <c r="AM741" s="28"/>
    </row>
    <row r="742" spans="7:39" ht="13">
      <c r="G742" s="28"/>
      <c r="H742" s="28"/>
      <c r="I742" s="28"/>
      <c r="J742" s="28"/>
      <c r="N742" s="63"/>
      <c r="O742" s="63"/>
      <c r="P742" s="28"/>
      <c r="AB742" s="28"/>
      <c r="AM742" s="28"/>
    </row>
    <row r="743" spans="7:39" ht="13">
      <c r="G743" s="28"/>
      <c r="H743" s="28"/>
      <c r="I743" s="28"/>
      <c r="J743" s="28"/>
      <c r="N743" s="63"/>
      <c r="O743" s="63"/>
      <c r="P743" s="28"/>
      <c r="AB743" s="28"/>
      <c r="AM743" s="28"/>
    </row>
    <row r="744" spans="7:39" ht="13">
      <c r="G744" s="28"/>
      <c r="H744" s="28"/>
      <c r="I744" s="28"/>
      <c r="J744" s="28"/>
      <c r="N744" s="63"/>
      <c r="O744" s="63"/>
      <c r="P744" s="28"/>
      <c r="AB744" s="28"/>
      <c r="AM744" s="28"/>
    </row>
    <row r="745" spans="7:39" ht="13">
      <c r="G745" s="28"/>
      <c r="H745" s="28"/>
      <c r="I745" s="28"/>
      <c r="J745" s="28"/>
      <c r="N745" s="63"/>
      <c r="O745" s="63"/>
      <c r="P745" s="28"/>
      <c r="AB745" s="28"/>
      <c r="AM745" s="28"/>
    </row>
    <row r="746" spans="7:39" ht="13">
      <c r="G746" s="28"/>
      <c r="H746" s="28"/>
      <c r="I746" s="28"/>
      <c r="J746" s="28"/>
      <c r="N746" s="63"/>
      <c r="O746" s="63"/>
      <c r="P746" s="28"/>
      <c r="AB746" s="28"/>
      <c r="AM746" s="28"/>
    </row>
    <row r="747" spans="7:39" ht="13">
      <c r="G747" s="28"/>
      <c r="H747" s="28"/>
      <c r="I747" s="28"/>
      <c r="J747" s="28"/>
      <c r="N747" s="63"/>
      <c r="O747" s="63"/>
      <c r="P747" s="28"/>
      <c r="AB747" s="28"/>
      <c r="AM747" s="28"/>
    </row>
    <row r="748" spans="7:39" ht="13">
      <c r="G748" s="28"/>
      <c r="H748" s="28"/>
      <c r="I748" s="28"/>
      <c r="J748" s="28"/>
      <c r="N748" s="63"/>
      <c r="O748" s="63"/>
      <c r="P748" s="28"/>
      <c r="AB748" s="28"/>
      <c r="AM748" s="28"/>
    </row>
    <row r="749" spans="7:39" ht="13">
      <c r="G749" s="28"/>
      <c r="H749" s="28"/>
      <c r="I749" s="28"/>
      <c r="J749" s="28"/>
      <c r="N749" s="63"/>
      <c r="O749" s="63"/>
      <c r="P749" s="28"/>
      <c r="AB749" s="28"/>
      <c r="AM749" s="28"/>
    </row>
    <row r="750" spans="7:39" ht="13">
      <c r="G750" s="28"/>
      <c r="H750" s="28"/>
      <c r="I750" s="28"/>
      <c r="J750" s="28"/>
      <c r="N750" s="63"/>
      <c r="O750" s="63"/>
      <c r="P750" s="28"/>
      <c r="AB750" s="28"/>
      <c r="AM750" s="28"/>
    </row>
    <row r="751" spans="7:39" ht="13">
      <c r="G751" s="28"/>
      <c r="H751" s="28"/>
      <c r="I751" s="28"/>
      <c r="J751" s="28"/>
      <c r="N751" s="63"/>
      <c r="O751" s="63"/>
      <c r="P751" s="28"/>
      <c r="AB751" s="28"/>
      <c r="AM751" s="28"/>
    </row>
    <row r="752" spans="7:39" ht="13">
      <c r="G752" s="28"/>
      <c r="H752" s="28"/>
      <c r="I752" s="28"/>
      <c r="J752" s="28"/>
      <c r="N752" s="63"/>
      <c r="O752" s="63"/>
      <c r="P752" s="28"/>
      <c r="AB752" s="28"/>
      <c r="AM752" s="28"/>
    </row>
    <row r="753" spans="7:39" ht="13">
      <c r="G753" s="28"/>
      <c r="H753" s="28"/>
      <c r="I753" s="28"/>
      <c r="J753" s="28"/>
      <c r="N753" s="63"/>
      <c r="O753" s="63"/>
      <c r="P753" s="28"/>
      <c r="AB753" s="28"/>
      <c r="AM753" s="28"/>
    </row>
    <row r="754" spans="7:39" ht="13">
      <c r="G754" s="28"/>
      <c r="H754" s="28"/>
      <c r="I754" s="28"/>
      <c r="J754" s="28"/>
      <c r="N754" s="63"/>
      <c r="O754" s="63"/>
      <c r="P754" s="28"/>
      <c r="AB754" s="28"/>
      <c r="AM754" s="28"/>
    </row>
    <row r="755" spans="7:39" ht="13">
      <c r="G755" s="28"/>
      <c r="H755" s="28"/>
      <c r="I755" s="28"/>
      <c r="J755" s="28"/>
      <c r="N755" s="63"/>
      <c r="O755" s="63"/>
      <c r="P755" s="28"/>
      <c r="AB755" s="28"/>
      <c r="AM755" s="28"/>
    </row>
    <row r="756" spans="7:39" ht="13">
      <c r="G756" s="28"/>
      <c r="H756" s="28"/>
      <c r="I756" s="28"/>
      <c r="J756" s="28"/>
      <c r="N756" s="63"/>
      <c r="O756" s="63"/>
      <c r="P756" s="28"/>
      <c r="AB756" s="28"/>
      <c r="AM756" s="28"/>
    </row>
    <row r="757" spans="7:39" ht="13">
      <c r="G757" s="28"/>
      <c r="H757" s="28"/>
      <c r="I757" s="28"/>
      <c r="J757" s="28"/>
      <c r="N757" s="63"/>
      <c r="O757" s="63"/>
      <c r="P757" s="28"/>
      <c r="AB757" s="28"/>
      <c r="AM757" s="28"/>
    </row>
    <row r="758" spans="7:39" ht="13">
      <c r="G758" s="28"/>
      <c r="H758" s="28"/>
      <c r="I758" s="28"/>
      <c r="J758" s="28"/>
      <c r="N758" s="63"/>
      <c r="O758" s="63"/>
      <c r="P758" s="28"/>
      <c r="AB758" s="28"/>
      <c r="AM758" s="28"/>
    </row>
    <row r="759" spans="7:39" ht="13">
      <c r="G759" s="28"/>
      <c r="H759" s="28"/>
      <c r="I759" s="28"/>
      <c r="J759" s="28"/>
      <c r="N759" s="63"/>
      <c r="O759" s="63"/>
      <c r="P759" s="28"/>
      <c r="AB759" s="28"/>
      <c r="AM759" s="28"/>
    </row>
    <row r="760" spans="7:39" ht="13">
      <c r="G760" s="28"/>
      <c r="H760" s="28"/>
      <c r="I760" s="28"/>
      <c r="J760" s="28"/>
      <c r="N760" s="63"/>
      <c r="O760" s="63"/>
      <c r="P760" s="28"/>
      <c r="AB760" s="28"/>
      <c r="AM760" s="28"/>
    </row>
    <row r="761" spans="7:39" ht="13">
      <c r="G761" s="28"/>
      <c r="H761" s="28"/>
      <c r="I761" s="28"/>
      <c r="J761" s="28"/>
      <c r="N761" s="63"/>
      <c r="O761" s="63"/>
      <c r="P761" s="28"/>
      <c r="AB761" s="28"/>
      <c r="AM761" s="28"/>
    </row>
    <row r="762" spans="7:39" ht="13">
      <c r="G762" s="28"/>
      <c r="H762" s="28"/>
      <c r="I762" s="28"/>
      <c r="J762" s="28"/>
      <c r="N762" s="63"/>
      <c r="O762" s="63"/>
      <c r="P762" s="28"/>
      <c r="AB762" s="28"/>
      <c r="AM762" s="28"/>
    </row>
    <row r="763" spans="7:39" ht="13">
      <c r="G763" s="28"/>
      <c r="H763" s="28"/>
      <c r="I763" s="28"/>
      <c r="J763" s="28"/>
      <c r="N763" s="63"/>
      <c r="O763" s="63"/>
      <c r="P763" s="28"/>
      <c r="AB763" s="28"/>
      <c r="AM763" s="28"/>
    </row>
    <row r="764" spans="7:39" ht="13">
      <c r="G764" s="28"/>
      <c r="H764" s="28"/>
      <c r="I764" s="28"/>
      <c r="J764" s="28"/>
      <c r="N764" s="63"/>
      <c r="O764" s="63"/>
      <c r="P764" s="28"/>
      <c r="AB764" s="28"/>
      <c r="AM764" s="28"/>
    </row>
    <row r="765" spans="7:39" ht="13">
      <c r="G765" s="28"/>
      <c r="H765" s="28"/>
      <c r="I765" s="28"/>
      <c r="J765" s="28"/>
      <c r="N765" s="63"/>
      <c r="O765" s="63"/>
      <c r="P765" s="28"/>
      <c r="AB765" s="28"/>
      <c r="AM765" s="28"/>
    </row>
    <row r="766" spans="7:39" ht="13">
      <c r="G766" s="28"/>
      <c r="H766" s="28"/>
      <c r="I766" s="28"/>
      <c r="J766" s="28"/>
      <c r="N766" s="63"/>
      <c r="O766" s="63"/>
      <c r="P766" s="28"/>
      <c r="AB766" s="28"/>
      <c r="AM766" s="28"/>
    </row>
    <row r="767" spans="7:39" ht="13">
      <c r="G767" s="28"/>
      <c r="H767" s="28"/>
      <c r="I767" s="28"/>
      <c r="J767" s="28"/>
      <c r="N767" s="63"/>
      <c r="O767" s="63"/>
      <c r="P767" s="28"/>
      <c r="AB767" s="28"/>
      <c r="AM767" s="28"/>
    </row>
    <row r="768" spans="7:39" ht="13">
      <c r="G768" s="28"/>
      <c r="H768" s="28"/>
      <c r="I768" s="28"/>
      <c r="J768" s="28"/>
      <c r="N768" s="63"/>
      <c r="O768" s="63"/>
      <c r="P768" s="28"/>
      <c r="AB768" s="28"/>
      <c r="AM768" s="28"/>
    </row>
    <row r="769" spans="7:39" ht="13">
      <c r="G769" s="28"/>
      <c r="H769" s="28"/>
      <c r="I769" s="28"/>
      <c r="J769" s="28"/>
      <c r="N769" s="63"/>
      <c r="O769" s="63"/>
      <c r="P769" s="28"/>
      <c r="AB769" s="28"/>
      <c r="AM769" s="28"/>
    </row>
    <row r="770" spans="7:39" ht="13">
      <c r="G770" s="28"/>
      <c r="H770" s="28"/>
      <c r="I770" s="28"/>
      <c r="J770" s="28"/>
      <c r="N770" s="63"/>
      <c r="O770" s="63"/>
      <c r="P770" s="28"/>
      <c r="AB770" s="28"/>
      <c r="AM770" s="28"/>
    </row>
    <row r="771" spans="7:39" ht="13">
      <c r="G771" s="28"/>
      <c r="H771" s="28"/>
      <c r="I771" s="28"/>
      <c r="J771" s="28"/>
      <c r="N771" s="63"/>
      <c r="O771" s="63"/>
      <c r="P771" s="28"/>
      <c r="AB771" s="28"/>
      <c r="AM771" s="28"/>
    </row>
    <row r="772" spans="7:39" ht="13">
      <c r="G772" s="28"/>
      <c r="H772" s="28"/>
      <c r="I772" s="28"/>
      <c r="J772" s="28"/>
      <c r="N772" s="63"/>
      <c r="O772" s="63"/>
      <c r="P772" s="28"/>
      <c r="AB772" s="28"/>
      <c r="AM772" s="28"/>
    </row>
    <row r="773" spans="7:39" ht="13">
      <c r="G773" s="28"/>
      <c r="H773" s="28"/>
      <c r="I773" s="28"/>
      <c r="J773" s="28"/>
      <c r="N773" s="63"/>
      <c r="O773" s="63"/>
      <c r="P773" s="28"/>
      <c r="AB773" s="28"/>
      <c r="AM773" s="28"/>
    </row>
    <row r="774" spans="7:39" ht="13">
      <c r="G774" s="28"/>
      <c r="H774" s="28"/>
      <c r="I774" s="28"/>
      <c r="J774" s="28"/>
      <c r="N774" s="63"/>
      <c r="O774" s="63"/>
      <c r="P774" s="28"/>
      <c r="AB774" s="28"/>
      <c r="AM774" s="28"/>
    </row>
    <row r="775" spans="7:39" ht="13">
      <c r="G775" s="28"/>
      <c r="H775" s="28"/>
      <c r="I775" s="28"/>
      <c r="J775" s="28"/>
      <c r="N775" s="63"/>
      <c r="O775" s="63"/>
      <c r="P775" s="28"/>
      <c r="AB775" s="28"/>
      <c r="AM775" s="28"/>
    </row>
    <row r="776" spans="7:39" ht="13">
      <c r="G776" s="28"/>
      <c r="H776" s="28"/>
      <c r="I776" s="28"/>
      <c r="J776" s="28"/>
      <c r="N776" s="63"/>
      <c r="O776" s="63"/>
      <c r="P776" s="28"/>
      <c r="AB776" s="28"/>
      <c r="AM776" s="28"/>
    </row>
    <row r="777" spans="7:39" ht="13">
      <c r="G777" s="28"/>
      <c r="H777" s="28"/>
      <c r="I777" s="28"/>
      <c r="J777" s="28"/>
      <c r="N777" s="63"/>
      <c r="O777" s="63"/>
      <c r="P777" s="28"/>
      <c r="AB777" s="28"/>
      <c r="AM777" s="28"/>
    </row>
    <row r="778" spans="7:39" ht="13">
      <c r="G778" s="28"/>
      <c r="H778" s="28"/>
      <c r="I778" s="28"/>
      <c r="J778" s="28"/>
      <c r="N778" s="63"/>
      <c r="O778" s="63"/>
      <c r="P778" s="28"/>
      <c r="AB778" s="28"/>
      <c r="AM778" s="28"/>
    </row>
    <row r="779" spans="7:39" ht="13">
      <c r="G779" s="28"/>
      <c r="H779" s="28"/>
      <c r="I779" s="28"/>
      <c r="J779" s="28"/>
      <c r="N779" s="63"/>
      <c r="O779" s="63"/>
      <c r="P779" s="28"/>
      <c r="AB779" s="28"/>
      <c r="AM779" s="28"/>
    </row>
    <row r="780" spans="7:39" ht="13">
      <c r="G780" s="28"/>
      <c r="H780" s="28"/>
      <c r="I780" s="28"/>
      <c r="J780" s="28"/>
      <c r="N780" s="63"/>
      <c r="O780" s="63"/>
      <c r="P780" s="28"/>
      <c r="AB780" s="28"/>
      <c r="AM780" s="28"/>
    </row>
    <row r="781" spans="7:39" ht="13">
      <c r="G781" s="28"/>
      <c r="H781" s="28"/>
      <c r="I781" s="28"/>
      <c r="J781" s="28"/>
      <c r="N781" s="63"/>
      <c r="O781" s="63"/>
      <c r="P781" s="28"/>
      <c r="AB781" s="28"/>
      <c r="AM781" s="28"/>
    </row>
    <row r="782" spans="7:39" ht="13">
      <c r="G782" s="28"/>
      <c r="H782" s="28"/>
      <c r="I782" s="28"/>
      <c r="J782" s="28"/>
      <c r="N782" s="63"/>
      <c r="O782" s="63"/>
      <c r="P782" s="28"/>
      <c r="AB782" s="28"/>
      <c r="AM782" s="28"/>
    </row>
    <row r="783" spans="7:39" ht="13">
      <c r="G783" s="28"/>
      <c r="H783" s="28"/>
      <c r="I783" s="28"/>
      <c r="J783" s="28"/>
      <c r="N783" s="63"/>
      <c r="O783" s="63"/>
      <c r="P783" s="28"/>
      <c r="AB783" s="28"/>
      <c r="AM783" s="28"/>
    </row>
    <row r="784" spans="7:39" ht="13">
      <c r="G784" s="28"/>
      <c r="H784" s="28"/>
      <c r="I784" s="28"/>
      <c r="J784" s="28"/>
      <c r="N784" s="63"/>
      <c r="O784" s="63"/>
      <c r="P784" s="28"/>
      <c r="AB784" s="28"/>
      <c r="AM784" s="28"/>
    </row>
    <row r="785" spans="7:39" ht="13">
      <c r="G785" s="28"/>
      <c r="H785" s="28"/>
      <c r="I785" s="28"/>
      <c r="J785" s="28"/>
      <c r="N785" s="63"/>
      <c r="O785" s="63"/>
      <c r="P785" s="28"/>
      <c r="AB785" s="28"/>
      <c r="AM785" s="28"/>
    </row>
    <row r="786" spans="7:39" ht="13">
      <c r="G786" s="28"/>
      <c r="H786" s="28"/>
      <c r="I786" s="28"/>
      <c r="J786" s="28"/>
      <c r="N786" s="63"/>
      <c r="O786" s="63"/>
      <c r="P786" s="28"/>
      <c r="AB786" s="28"/>
      <c r="AM786" s="28"/>
    </row>
    <row r="787" spans="7:39" ht="13">
      <c r="G787" s="28"/>
      <c r="H787" s="28"/>
      <c r="I787" s="28"/>
      <c r="J787" s="28"/>
      <c r="N787" s="63"/>
      <c r="O787" s="63"/>
      <c r="P787" s="28"/>
      <c r="AB787" s="28"/>
      <c r="AM787" s="28"/>
    </row>
    <row r="788" spans="7:39" ht="13">
      <c r="G788" s="28"/>
      <c r="H788" s="28"/>
      <c r="I788" s="28"/>
      <c r="J788" s="28"/>
      <c r="N788" s="63"/>
      <c r="O788" s="63"/>
      <c r="P788" s="28"/>
      <c r="AB788" s="28"/>
      <c r="AM788" s="28"/>
    </row>
    <row r="789" spans="7:39" ht="13">
      <c r="G789" s="28"/>
      <c r="H789" s="28"/>
      <c r="I789" s="28"/>
      <c r="J789" s="28"/>
      <c r="N789" s="63"/>
      <c r="O789" s="63"/>
      <c r="P789" s="28"/>
      <c r="AB789" s="28"/>
      <c r="AM789" s="28"/>
    </row>
    <row r="790" spans="7:39" ht="13">
      <c r="G790" s="28"/>
      <c r="H790" s="28"/>
      <c r="I790" s="28"/>
      <c r="J790" s="28"/>
      <c r="N790" s="63"/>
      <c r="O790" s="63"/>
      <c r="P790" s="28"/>
      <c r="AB790" s="28"/>
      <c r="AM790" s="28"/>
    </row>
    <row r="791" spans="7:39" ht="13">
      <c r="G791" s="28"/>
      <c r="H791" s="28"/>
      <c r="I791" s="28"/>
      <c r="J791" s="28"/>
      <c r="N791" s="63"/>
      <c r="O791" s="63"/>
      <c r="P791" s="28"/>
      <c r="AB791" s="28"/>
      <c r="AM791" s="28"/>
    </row>
    <row r="792" spans="7:39" ht="13">
      <c r="G792" s="28"/>
      <c r="H792" s="28"/>
      <c r="I792" s="28"/>
      <c r="J792" s="28"/>
      <c r="N792" s="63"/>
      <c r="O792" s="63"/>
      <c r="P792" s="28"/>
      <c r="AB792" s="28"/>
      <c r="AM792" s="28"/>
    </row>
    <row r="793" spans="7:39" ht="13">
      <c r="G793" s="28"/>
      <c r="H793" s="28"/>
      <c r="I793" s="28"/>
      <c r="J793" s="28"/>
      <c r="N793" s="63"/>
      <c r="O793" s="63"/>
      <c r="P793" s="28"/>
      <c r="AB793" s="28"/>
      <c r="AM793" s="28"/>
    </row>
    <row r="794" spans="7:39" ht="13">
      <c r="G794" s="28"/>
      <c r="H794" s="28"/>
      <c r="I794" s="28"/>
      <c r="J794" s="28"/>
      <c r="N794" s="63"/>
      <c r="O794" s="63"/>
      <c r="P794" s="28"/>
      <c r="AB794" s="28"/>
      <c r="AM794" s="28"/>
    </row>
    <row r="795" spans="7:39" ht="13">
      <c r="G795" s="28"/>
      <c r="H795" s="28"/>
      <c r="I795" s="28"/>
      <c r="J795" s="28"/>
      <c r="N795" s="63"/>
      <c r="O795" s="63"/>
      <c r="P795" s="28"/>
      <c r="AB795" s="28"/>
      <c r="AM795" s="28"/>
    </row>
    <row r="796" spans="7:39" ht="13">
      <c r="G796" s="28"/>
      <c r="H796" s="28"/>
      <c r="I796" s="28"/>
      <c r="J796" s="28"/>
      <c r="N796" s="63"/>
      <c r="O796" s="63"/>
      <c r="P796" s="28"/>
      <c r="AB796" s="28"/>
      <c r="AM796" s="28"/>
    </row>
    <row r="797" spans="7:39" ht="13">
      <c r="G797" s="28"/>
      <c r="H797" s="28"/>
      <c r="I797" s="28"/>
      <c r="J797" s="28"/>
      <c r="N797" s="63"/>
      <c r="O797" s="63"/>
      <c r="P797" s="28"/>
      <c r="AB797" s="28"/>
      <c r="AM797" s="28"/>
    </row>
    <row r="798" spans="7:39" ht="13">
      <c r="G798" s="28"/>
      <c r="H798" s="28"/>
      <c r="I798" s="28"/>
      <c r="J798" s="28"/>
      <c r="N798" s="63"/>
      <c r="O798" s="63"/>
      <c r="P798" s="28"/>
      <c r="AB798" s="28"/>
      <c r="AM798" s="28"/>
    </row>
    <row r="799" spans="7:39" ht="13">
      <c r="G799" s="28"/>
      <c r="H799" s="28"/>
      <c r="I799" s="28"/>
      <c r="J799" s="28"/>
      <c r="N799" s="63"/>
      <c r="O799" s="63"/>
      <c r="P799" s="28"/>
      <c r="AB799" s="28"/>
      <c r="AM799" s="28"/>
    </row>
    <row r="800" spans="7:39" ht="13">
      <c r="G800" s="28"/>
      <c r="H800" s="28"/>
      <c r="I800" s="28"/>
      <c r="J800" s="28"/>
      <c r="N800" s="63"/>
      <c r="O800" s="63"/>
      <c r="P800" s="28"/>
      <c r="AB800" s="28"/>
      <c r="AM800" s="28"/>
    </row>
    <row r="801" spans="7:39" ht="13">
      <c r="G801" s="28"/>
      <c r="H801" s="28"/>
      <c r="I801" s="28"/>
      <c r="J801" s="28"/>
      <c r="N801" s="63"/>
      <c r="O801" s="63"/>
      <c r="P801" s="28"/>
      <c r="AB801" s="28"/>
      <c r="AM801" s="28"/>
    </row>
    <row r="802" spans="7:39" ht="13">
      <c r="G802" s="28"/>
      <c r="H802" s="28"/>
      <c r="I802" s="28"/>
      <c r="J802" s="28"/>
      <c r="N802" s="63"/>
      <c r="O802" s="63"/>
      <c r="P802" s="28"/>
      <c r="AB802" s="28"/>
      <c r="AM802" s="28"/>
    </row>
    <row r="803" spans="7:39" ht="13">
      <c r="G803" s="28"/>
      <c r="H803" s="28"/>
      <c r="I803" s="28"/>
      <c r="J803" s="28"/>
      <c r="N803" s="63"/>
      <c r="O803" s="63"/>
      <c r="P803" s="28"/>
      <c r="AB803" s="28"/>
      <c r="AM803" s="28"/>
    </row>
    <row r="804" spans="7:39" ht="13">
      <c r="G804" s="28"/>
      <c r="H804" s="28"/>
      <c r="I804" s="28"/>
      <c r="J804" s="28"/>
      <c r="N804" s="63"/>
      <c r="O804" s="63"/>
      <c r="P804" s="28"/>
      <c r="AB804" s="28"/>
      <c r="AM804" s="28"/>
    </row>
    <row r="805" spans="7:39" ht="13">
      <c r="G805" s="28"/>
      <c r="H805" s="28"/>
      <c r="I805" s="28"/>
      <c r="J805" s="28"/>
      <c r="N805" s="63"/>
      <c r="O805" s="63"/>
      <c r="P805" s="28"/>
      <c r="AB805" s="28"/>
      <c r="AM805" s="28"/>
    </row>
    <row r="806" spans="7:39" ht="13">
      <c r="G806" s="28"/>
      <c r="H806" s="28"/>
      <c r="I806" s="28"/>
      <c r="J806" s="28"/>
      <c r="N806" s="63"/>
      <c r="O806" s="63"/>
      <c r="P806" s="28"/>
      <c r="AB806" s="28"/>
      <c r="AM806" s="28"/>
    </row>
    <row r="807" spans="7:39" ht="13">
      <c r="G807" s="28"/>
      <c r="H807" s="28"/>
      <c r="I807" s="28"/>
      <c r="J807" s="28"/>
      <c r="N807" s="63"/>
      <c r="O807" s="63"/>
      <c r="P807" s="28"/>
      <c r="AB807" s="28"/>
      <c r="AM807" s="28"/>
    </row>
    <row r="808" spans="7:39" ht="13">
      <c r="G808" s="28"/>
      <c r="H808" s="28"/>
      <c r="I808" s="28"/>
      <c r="J808" s="28"/>
      <c r="N808" s="63"/>
      <c r="O808" s="63"/>
      <c r="P808" s="28"/>
      <c r="AB808" s="28"/>
      <c r="AM808" s="28"/>
    </row>
    <row r="809" spans="7:39" ht="13">
      <c r="G809" s="28"/>
      <c r="H809" s="28"/>
      <c r="I809" s="28"/>
      <c r="J809" s="28"/>
      <c r="N809" s="63"/>
      <c r="O809" s="63"/>
      <c r="P809" s="28"/>
      <c r="AB809" s="28"/>
      <c r="AM809" s="28"/>
    </row>
    <row r="810" spans="7:39" ht="13">
      <c r="G810" s="28"/>
      <c r="H810" s="28"/>
      <c r="I810" s="28"/>
      <c r="J810" s="28"/>
      <c r="N810" s="63"/>
      <c r="O810" s="63"/>
      <c r="P810" s="28"/>
      <c r="AB810" s="28"/>
      <c r="AM810" s="28"/>
    </row>
    <row r="811" spans="7:39" ht="13">
      <c r="G811" s="28"/>
      <c r="H811" s="28"/>
      <c r="I811" s="28"/>
      <c r="J811" s="28"/>
      <c r="N811" s="63"/>
      <c r="O811" s="63"/>
      <c r="P811" s="28"/>
      <c r="AB811" s="28"/>
      <c r="AM811" s="28"/>
    </row>
    <row r="812" spans="7:39" ht="13">
      <c r="G812" s="28"/>
      <c r="H812" s="28"/>
      <c r="I812" s="28"/>
      <c r="J812" s="28"/>
      <c r="N812" s="63"/>
      <c r="O812" s="63"/>
      <c r="P812" s="28"/>
      <c r="AB812" s="28"/>
      <c r="AM812" s="28"/>
    </row>
    <row r="813" spans="7:39" ht="13">
      <c r="G813" s="28"/>
      <c r="H813" s="28"/>
      <c r="I813" s="28"/>
      <c r="J813" s="28"/>
      <c r="N813" s="63"/>
      <c r="O813" s="63"/>
      <c r="P813" s="28"/>
      <c r="AB813" s="28"/>
      <c r="AM813" s="28"/>
    </row>
    <row r="814" spans="7:39" ht="13">
      <c r="G814" s="28"/>
      <c r="H814" s="28"/>
      <c r="I814" s="28"/>
      <c r="J814" s="28"/>
      <c r="N814" s="63"/>
      <c r="O814" s="63"/>
      <c r="P814" s="28"/>
      <c r="AB814" s="28"/>
      <c r="AM814" s="28"/>
    </row>
    <row r="815" spans="7:39" ht="13">
      <c r="G815" s="28"/>
      <c r="H815" s="28"/>
      <c r="I815" s="28"/>
      <c r="J815" s="28"/>
      <c r="N815" s="63"/>
      <c r="O815" s="63"/>
      <c r="P815" s="28"/>
      <c r="AB815" s="28"/>
      <c r="AM815" s="28"/>
    </row>
    <row r="816" spans="7:39" ht="13">
      <c r="G816" s="28"/>
      <c r="H816" s="28"/>
      <c r="I816" s="28"/>
      <c r="J816" s="28"/>
      <c r="N816" s="63"/>
      <c r="O816" s="63"/>
      <c r="P816" s="28"/>
      <c r="AB816" s="28"/>
      <c r="AM816" s="28"/>
    </row>
    <row r="817" spans="7:39" ht="13">
      <c r="G817" s="28"/>
      <c r="H817" s="28"/>
      <c r="I817" s="28"/>
      <c r="J817" s="28"/>
      <c r="N817" s="63"/>
      <c r="O817" s="63"/>
      <c r="P817" s="28"/>
      <c r="AB817" s="28"/>
      <c r="AM817" s="28"/>
    </row>
    <row r="818" spans="7:39" ht="13">
      <c r="G818" s="28"/>
      <c r="H818" s="28"/>
      <c r="I818" s="28"/>
      <c r="J818" s="28"/>
      <c r="N818" s="63"/>
      <c r="O818" s="63"/>
      <c r="P818" s="28"/>
      <c r="AB818" s="28"/>
      <c r="AM818" s="28"/>
    </row>
    <row r="819" spans="7:39" ht="13">
      <c r="G819" s="28"/>
      <c r="H819" s="28"/>
      <c r="I819" s="28"/>
      <c r="J819" s="28"/>
      <c r="N819" s="63"/>
      <c r="O819" s="63"/>
      <c r="P819" s="28"/>
      <c r="AB819" s="28"/>
      <c r="AM819" s="28"/>
    </row>
    <row r="820" spans="7:39" ht="13">
      <c r="G820" s="28"/>
      <c r="H820" s="28"/>
      <c r="I820" s="28"/>
      <c r="J820" s="28"/>
      <c r="N820" s="63"/>
      <c r="O820" s="63"/>
      <c r="P820" s="28"/>
      <c r="AB820" s="28"/>
      <c r="AM820" s="28"/>
    </row>
    <row r="821" spans="7:39" ht="13">
      <c r="G821" s="28"/>
      <c r="H821" s="28"/>
      <c r="I821" s="28"/>
      <c r="J821" s="28"/>
      <c r="N821" s="63"/>
      <c r="O821" s="63"/>
      <c r="P821" s="28"/>
      <c r="AB821" s="28"/>
      <c r="AM821" s="28"/>
    </row>
    <row r="822" spans="7:39" ht="13">
      <c r="G822" s="28"/>
      <c r="H822" s="28"/>
      <c r="I822" s="28"/>
      <c r="J822" s="28"/>
      <c r="N822" s="63"/>
      <c r="O822" s="63"/>
      <c r="P822" s="28"/>
      <c r="AB822" s="28"/>
      <c r="AM822" s="28"/>
    </row>
    <row r="823" spans="7:39" ht="13">
      <c r="G823" s="28"/>
      <c r="H823" s="28"/>
      <c r="I823" s="28"/>
      <c r="J823" s="28"/>
      <c r="N823" s="63"/>
      <c r="O823" s="63"/>
      <c r="P823" s="28"/>
      <c r="AB823" s="28"/>
      <c r="AM823" s="28"/>
    </row>
    <row r="824" spans="7:39" ht="13">
      <c r="G824" s="28"/>
      <c r="H824" s="28"/>
      <c r="I824" s="28"/>
      <c r="J824" s="28"/>
      <c r="N824" s="63"/>
      <c r="O824" s="63"/>
      <c r="P824" s="28"/>
      <c r="AB824" s="28"/>
      <c r="AM824" s="28"/>
    </row>
    <row r="825" spans="7:39" ht="13">
      <c r="G825" s="28"/>
      <c r="H825" s="28"/>
      <c r="I825" s="28"/>
      <c r="J825" s="28"/>
      <c r="N825" s="63"/>
      <c r="O825" s="63"/>
      <c r="P825" s="28"/>
      <c r="AB825" s="28"/>
      <c r="AM825" s="28"/>
    </row>
    <row r="826" spans="7:39" ht="13">
      <c r="G826" s="28"/>
      <c r="H826" s="28"/>
      <c r="I826" s="28"/>
      <c r="J826" s="28"/>
      <c r="N826" s="63"/>
      <c r="O826" s="63"/>
      <c r="P826" s="28"/>
      <c r="AB826" s="28"/>
      <c r="AM826" s="28"/>
    </row>
    <row r="827" spans="7:39" ht="13">
      <c r="G827" s="28"/>
      <c r="H827" s="28"/>
      <c r="I827" s="28"/>
      <c r="J827" s="28"/>
      <c r="N827" s="63"/>
      <c r="O827" s="63"/>
      <c r="P827" s="28"/>
      <c r="AB827" s="28"/>
      <c r="AM827" s="28"/>
    </row>
    <row r="828" spans="7:39" ht="13">
      <c r="G828" s="28"/>
      <c r="H828" s="28"/>
      <c r="I828" s="28"/>
      <c r="J828" s="28"/>
      <c r="N828" s="63"/>
      <c r="O828" s="63"/>
      <c r="P828" s="28"/>
      <c r="AB828" s="28"/>
      <c r="AM828" s="28"/>
    </row>
    <row r="829" spans="7:39" ht="13">
      <c r="G829" s="28"/>
      <c r="H829" s="28"/>
      <c r="I829" s="28"/>
      <c r="J829" s="28"/>
      <c r="N829" s="63"/>
      <c r="O829" s="63"/>
      <c r="P829" s="28"/>
      <c r="AB829" s="28"/>
      <c r="AM829" s="28"/>
    </row>
    <row r="830" spans="7:39" ht="13">
      <c r="G830" s="28"/>
      <c r="H830" s="28"/>
      <c r="I830" s="28"/>
      <c r="J830" s="28"/>
      <c r="N830" s="63"/>
      <c r="O830" s="63"/>
      <c r="P830" s="28"/>
      <c r="AB830" s="28"/>
      <c r="AM830" s="28"/>
    </row>
    <row r="831" spans="7:39" ht="13">
      <c r="G831" s="28"/>
      <c r="H831" s="28"/>
      <c r="I831" s="28"/>
      <c r="J831" s="28"/>
      <c r="N831" s="63"/>
      <c r="O831" s="63"/>
      <c r="P831" s="28"/>
      <c r="AB831" s="28"/>
      <c r="AM831" s="28"/>
    </row>
    <row r="832" spans="7:39" ht="13">
      <c r="G832" s="28"/>
      <c r="H832" s="28"/>
      <c r="I832" s="28"/>
      <c r="J832" s="28"/>
      <c r="N832" s="63"/>
      <c r="O832" s="63"/>
      <c r="P832" s="28"/>
      <c r="AB832" s="28"/>
      <c r="AM832" s="28"/>
    </row>
    <row r="833" spans="7:39" ht="13">
      <c r="G833" s="28"/>
      <c r="H833" s="28"/>
      <c r="I833" s="28"/>
      <c r="J833" s="28"/>
      <c r="N833" s="63"/>
      <c r="O833" s="63"/>
      <c r="P833" s="28"/>
      <c r="AB833" s="28"/>
      <c r="AM833" s="28"/>
    </row>
    <row r="834" spans="7:39" ht="13">
      <c r="G834" s="28"/>
      <c r="H834" s="28"/>
      <c r="I834" s="28"/>
      <c r="J834" s="28"/>
      <c r="N834" s="63"/>
      <c r="O834" s="63"/>
      <c r="P834" s="28"/>
      <c r="AB834" s="28"/>
      <c r="AM834" s="28"/>
    </row>
    <row r="835" spans="7:39" ht="13">
      <c r="G835" s="28"/>
      <c r="H835" s="28"/>
      <c r="I835" s="28"/>
      <c r="J835" s="28"/>
      <c r="N835" s="63"/>
      <c r="O835" s="63"/>
      <c r="P835" s="28"/>
      <c r="AB835" s="28"/>
      <c r="AM835" s="28"/>
    </row>
    <row r="836" spans="7:39" ht="13">
      <c r="G836" s="28"/>
      <c r="H836" s="28"/>
      <c r="I836" s="28"/>
      <c r="J836" s="28"/>
      <c r="N836" s="63"/>
      <c r="O836" s="63"/>
      <c r="P836" s="28"/>
      <c r="AB836" s="28"/>
      <c r="AM836" s="28"/>
    </row>
    <row r="837" spans="7:39" ht="13">
      <c r="G837" s="28"/>
      <c r="H837" s="28"/>
      <c r="I837" s="28"/>
      <c r="J837" s="28"/>
      <c r="N837" s="63"/>
      <c r="O837" s="63"/>
      <c r="P837" s="28"/>
      <c r="AB837" s="28"/>
      <c r="AM837" s="28"/>
    </row>
    <row r="838" spans="7:39" ht="13">
      <c r="G838" s="28"/>
      <c r="H838" s="28"/>
      <c r="I838" s="28"/>
      <c r="J838" s="28"/>
      <c r="N838" s="63"/>
      <c r="O838" s="63"/>
      <c r="P838" s="28"/>
      <c r="AB838" s="28"/>
      <c r="AM838" s="28"/>
    </row>
    <row r="839" spans="7:39" ht="13">
      <c r="G839" s="28"/>
      <c r="H839" s="28"/>
      <c r="I839" s="28"/>
      <c r="J839" s="28"/>
      <c r="N839" s="63"/>
      <c r="O839" s="63"/>
      <c r="P839" s="28"/>
      <c r="AB839" s="28"/>
      <c r="AM839" s="28"/>
    </row>
    <row r="840" spans="7:39" ht="13">
      <c r="G840" s="28"/>
      <c r="H840" s="28"/>
      <c r="I840" s="28"/>
      <c r="J840" s="28"/>
      <c r="N840" s="63"/>
      <c r="O840" s="63"/>
      <c r="P840" s="28"/>
      <c r="AB840" s="28"/>
      <c r="AM840" s="28"/>
    </row>
    <row r="841" spans="7:39" ht="13">
      <c r="G841" s="28"/>
      <c r="H841" s="28"/>
      <c r="I841" s="28"/>
      <c r="J841" s="28"/>
      <c r="N841" s="63"/>
      <c r="O841" s="63"/>
      <c r="P841" s="28"/>
      <c r="AB841" s="28"/>
      <c r="AM841" s="28"/>
    </row>
    <row r="842" spans="7:39" ht="13">
      <c r="G842" s="28"/>
      <c r="H842" s="28"/>
      <c r="I842" s="28"/>
      <c r="J842" s="28"/>
      <c r="N842" s="63"/>
      <c r="O842" s="63"/>
      <c r="P842" s="28"/>
      <c r="AB842" s="28"/>
      <c r="AM842" s="28"/>
    </row>
    <row r="843" spans="7:39" ht="13">
      <c r="G843" s="28"/>
      <c r="H843" s="28"/>
      <c r="I843" s="28"/>
      <c r="J843" s="28"/>
      <c r="N843" s="63"/>
      <c r="O843" s="63"/>
      <c r="P843" s="28"/>
      <c r="AB843" s="28"/>
      <c r="AM843" s="28"/>
    </row>
    <row r="844" spans="7:39" ht="13">
      <c r="G844" s="28"/>
      <c r="H844" s="28"/>
      <c r="I844" s="28"/>
      <c r="J844" s="28"/>
      <c r="N844" s="63"/>
      <c r="O844" s="63"/>
      <c r="P844" s="28"/>
      <c r="AB844" s="28"/>
      <c r="AM844" s="28"/>
    </row>
    <row r="845" spans="7:39" ht="13">
      <c r="G845" s="28"/>
      <c r="H845" s="28"/>
      <c r="I845" s="28"/>
      <c r="J845" s="28"/>
      <c r="N845" s="63"/>
      <c r="O845" s="63"/>
      <c r="P845" s="28"/>
      <c r="AB845" s="28"/>
      <c r="AM845" s="28"/>
    </row>
    <row r="846" spans="7:39" ht="13">
      <c r="G846" s="28"/>
      <c r="H846" s="28"/>
      <c r="I846" s="28"/>
      <c r="J846" s="28"/>
      <c r="N846" s="63"/>
      <c r="O846" s="63"/>
      <c r="P846" s="28"/>
      <c r="AB846" s="28"/>
      <c r="AM846" s="28"/>
    </row>
    <row r="847" spans="7:39" ht="13">
      <c r="G847" s="28"/>
      <c r="H847" s="28"/>
      <c r="I847" s="28"/>
      <c r="J847" s="28"/>
      <c r="N847" s="63"/>
      <c r="O847" s="63"/>
      <c r="P847" s="28"/>
      <c r="AB847" s="28"/>
      <c r="AM847" s="28"/>
    </row>
    <row r="848" spans="7:39" ht="13">
      <c r="G848" s="28"/>
      <c r="H848" s="28"/>
      <c r="I848" s="28"/>
      <c r="J848" s="28"/>
      <c r="N848" s="63"/>
      <c r="O848" s="63"/>
      <c r="P848" s="28"/>
      <c r="AB848" s="28"/>
      <c r="AM848" s="28"/>
    </row>
    <row r="849" spans="7:39" ht="13">
      <c r="G849" s="28"/>
      <c r="H849" s="28"/>
      <c r="I849" s="28"/>
      <c r="J849" s="28"/>
      <c r="N849" s="63"/>
      <c r="O849" s="63"/>
      <c r="P849" s="28"/>
      <c r="AB849" s="28"/>
      <c r="AM849" s="28"/>
    </row>
    <row r="850" spans="7:39" ht="13">
      <c r="G850" s="28"/>
      <c r="H850" s="28"/>
      <c r="I850" s="28"/>
      <c r="J850" s="28"/>
      <c r="N850" s="63"/>
      <c r="O850" s="63"/>
      <c r="P850" s="28"/>
      <c r="AB850" s="28"/>
      <c r="AM850" s="28"/>
    </row>
    <row r="851" spans="7:39" ht="13">
      <c r="G851" s="28"/>
      <c r="H851" s="28"/>
      <c r="I851" s="28"/>
      <c r="J851" s="28"/>
      <c r="N851" s="63"/>
      <c r="O851" s="63"/>
      <c r="P851" s="28"/>
      <c r="AB851" s="28"/>
      <c r="AM851" s="28"/>
    </row>
    <row r="852" spans="7:39" ht="13">
      <c r="G852" s="28"/>
      <c r="H852" s="28"/>
      <c r="I852" s="28"/>
      <c r="J852" s="28"/>
      <c r="N852" s="63"/>
      <c r="O852" s="63"/>
      <c r="P852" s="28"/>
      <c r="AB852" s="28"/>
      <c r="AM852" s="28"/>
    </row>
    <row r="853" spans="7:39" ht="13">
      <c r="G853" s="28"/>
      <c r="H853" s="28"/>
      <c r="I853" s="28"/>
      <c r="J853" s="28"/>
      <c r="N853" s="63"/>
      <c r="O853" s="63"/>
      <c r="P853" s="28"/>
      <c r="AB853" s="28"/>
      <c r="AM853" s="28"/>
    </row>
    <row r="854" spans="7:39" ht="13">
      <c r="G854" s="28"/>
      <c r="H854" s="28"/>
      <c r="I854" s="28"/>
      <c r="J854" s="28"/>
      <c r="N854" s="63"/>
      <c r="O854" s="63"/>
      <c r="P854" s="28"/>
      <c r="AB854" s="28"/>
      <c r="AM854" s="28"/>
    </row>
    <row r="855" spans="7:39" ht="13">
      <c r="G855" s="28"/>
      <c r="H855" s="28"/>
      <c r="I855" s="28"/>
      <c r="J855" s="28"/>
      <c r="N855" s="63"/>
      <c r="O855" s="63"/>
      <c r="P855" s="28"/>
      <c r="AB855" s="28"/>
      <c r="AM855" s="28"/>
    </row>
    <row r="856" spans="7:39" ht="13">
      <c r="G856" s="28"/>
      <c r="H856" s="28"/>
      <c r="I856" s="28"/>
      <c r="J856" s="28"/>
      <c r="N856" s="63"/>
      <c r="O856" s="63"/>
      <c r="P856" s="28"/>
      <c r="AB856" s="28"/>
      <c r="AM856" s="28"/>
    </row>
    <row r="857" spans="7:39" ht="13">
      <c r="G857" s="28"/>
      <c r="H857" s="28"/>
      <c r="I857" s="28"/>
      <c r="J857" s="28"/>
      <c r="N857" s="63"/>
      <c r="O857" s="63"/>
      <c r="P857" s="28"/>
      <c r="AB857" s="28"/>
      <c r="AM857" s="28"/>
    </row>
    <row r="858" spans="7:39" ht="13">
      <c r="G858" s="28"/>
      <c r="H858" s="28"/>
      <c r="I858" s="28"/>
      <c r="J858" s="28"/>
      <c r="N858" s="63"/>
      <c r="O858" s="63"/>
      <c r="P858" s="28"/>
      <c r="AB858" s="28"/>
      <c r="AM858" s="28"/>
    </row>
    <row r="859" spans="7:39" ht="13">
      <c r="G859" s="28"/>
      <c r="H859" s="28"/>
      <c r="I859" s="28"/>
      <c r="J859" s="28"/>
      <c r="N859" s="63"/>
      <c r="O859" s="63"/>
      <c r="P859" s="28"/>
      <c r="AB859" s="28"/>
      <c r="AM859" s="28"/>
    </row>
    <row r="860" spans="7:39" ht="13">
      <c r="G860" s="28"/>
      <c r="H860" s="28"/>
      <c r="I860" s="28"/>
      <c r="J860" s="28"/>
      <c r="N860" s="63"/>
      <c r="O860" s="63"/>
      <c r="P860" s="28"/>
      <c r="AB860" s="28"/>
      <c r="AM860" s="28"/>
    </row>
    <row r="861" spans="7:39" ht="13">
      <c r="G861" s="28"/>
      <c r="H861" s="28"/>
      <c r="I861" s="28"/>
      <c r="J861" s="28"/>
      <c r="N861" s="63"/>
      <c r="O861" s="63"/>
      <c r="P861" s="28"/>
      <c r="AB861" s="28"/>
      <c r="AM861" s="28"/>
    </row>
    <row r="862" spans="7:39" ht="13">
      <c r="G862" s="28"/>
      <c r="H862" s="28"/>
      <c r="I862" s="28"/>
      <c r="J862" s="28"/>
      <c r="N862" s="63"/>
      <c r="O862" s="63"/>
      <c r="P862" s="28"/>
      <c r="AB862" s="28"/>
      <c r="AM862" s="28"/>
    </row>
    <row r="863" spans="7:39" ht="13">
      <c r="G863" s="28"/>
      <c r="H863" s="28"/>
      <c r="I863" s="28"/>
      <c r="J863" s="28"/>
      <c r="N863" s="63"/>
      <c r="O863" s="63"/>
      <c r="P863" s="28"/>
      <c r="AB863" s="28"/>
      <c r="AM863" s="28"/>
    </row>
    <row r="864" spans="7:39" ht="13">
      <c r="G864" s="28"/>
      <c r="H864" s="28"/>
      <c r="I864" s="28"/>
      <c r="J864" s="28"/>
      <c r="N864" s="63"/>
      <c r="O864" s="63"/>
      <c r="P864" s="28"/>
      <c r="AB864" s="28"/>
      <c r="AM864" s="28"/>
    </row>
    <row r="865" spans="7:39" ht="13">
      <c r="G865" s="28"/>
      <c r="H865" s="28"/>
      <c r="I865" s="28"/>
      <c r="J865" s="28"/>
      <c r="N865" s="63"/>
      <c r="O865" s="63"/>
      <c r="P865" s="28"/>
      <c r="AB865" s="28"/>
      <c r="AM865" s="28"/>
    </row>
    <row r="866" spans="7:39" ht="13">
      <c r="G866" s="28"/>
      <c r="H866" s="28"/>
      <c r="I866" s="28"/>
      <c r="J866" s="28"/>
      <c r="N866" s="63"/>
      <c r="O866" s="63"/>
      <c r="P866" s="28"/>
      <c r="AB866" s="28"/>
      <c r="AM866" s="28"/>
    </row>
    <row r="867" spans="7:39" ht="13">
      <c r="G867" s="28"/>
      <c r="H867" s="28"/>
      <c r="I867" s="28"/>
      <c r="J867" s="28"/>
      <c r="N867" s="63"/>
      <c r="O867" s="63"/>
      <c r="P867" s="28"/>
      <c r="AB867" s="28"/>
      <c r="AM867" s="28"/>
    </row>
    <row r="868" spans="7:39" ht="13">
      <c r="G868" s="28"/>
      <c r="H868" s="28"/>
      <c r="I868" s="28"/>
      <c r="J868" s="28"/>
      <c r="N868" s="63"/>
      <c r="O868" s="63"/>
      <c r="P868" s="28"/>
      <c r="AB868" s="28"/>
      <c r="AM868" s="28"/>
    </row>
    <row r="869" spans="7:39" ht="13">
      <c r="G869" s="28"/>
      <c r="H869" s="28"/>
      <c r="I869" s="28"/>
      <c r="J869" s="28"/>
      <c r="N869" s="63"/>
      <c r="O869" s="63"/>
      <c r="P869" s="28"/>
      <c r="AB869" s="28"/>
      <c r="AM869" s="28"/>
    </row>
    <row r="870" spans="7:39" ht="13">
      <c r="G870" s="28"/>
      <c r="H870" s="28"/>
      <c r="I870" s="28"/>
      <c r="J870" s="28"/>
      <c r="N870" s="63"/>
      <c r="O870" s="63"/>
      <c r="P870" s="28"/>
      <c r="AB870" s="28"/>
      <c r="AM870" s="28"/>
    </row>
    <row r="871" spans="7:39" ht="13">
      <c r="G871" s="28"/>
      <c r="H871" s="28"/>
      <c r="I871" s="28"/>
      <c r="J871" s="28"/>
      <c r="N871" s="63"/>
      <c r="O871" s="63"/>
      <c r="P871" s="28"/>
      <c r="AB871" s="28"/>
      <c r="AM871" s="28"/>
    </row>
    <row r="872" spans="7:39" ht="13">
      <c r="G872" s="28"/>
      <c r="H872" s="28"/>
      <c r="I872" s="28"/>
      <c r="J872" s="28"/>
      <c r="N872" s="63"/>
      <c r="O872" s="63"/>
      <c r="P872" s="28"/>
      <c r="AB872" s="28"/>
      <c r="AM872" s="28"/>
    </row>
    <row r="873" spans="7:39" ht="13">
      <c r="G873" s="28"/>
      <c r="H873" s="28"/>
      <c r="I873" s="28"/>
      <c r="J873" s="28"/>
      <c r="N873" s="63"/>
      <c r="O873" s="63"/>
      <c r="P873" s="28"/>
      <c r="AB873" s="28"/>
      <c r="AM873" s="28"/>
    </row>
    <row r="874" spans="7:39" ht="13">
      <c r="G874" s="28"/>
      <c r="H874" s="28"/>
      <c r="I874" s="28"/>
      <c r="J874" s="28"/>
      <c r="N874" s="63"/>
      <c r="O874" s="63"/>
      <c r="P874" s="28"/>
      <c r="AB874" s="28"/>
      <c r="AM874" s="28"/>
    </row>
    <row r="875" spans="7:39" ht="13">
      <c r="G875" s="28"/>
      <c r="H875" s="28"/>
      <c r="I875" s="28"/>
      <c r="J875" s="28"/>
      <c r="N875" s="63"/>
      <c r="O875" s="63"/>
      <c r="P875" s="28"/>
      <c r="AB875" s="28"/>
      <c r="AM875" s="28"/>
    </row>
    <row r="876" spans="7:39" ht="13">
      <c r="G876" s="28"/>
      <c r="H876" s="28"/>
      <c r="I876" s="28"/>
      <c r="J876" s="28"/>
      <c r="N876" s="63"/>
      <c r="O876" s="63"/>
      <c r="P876" s="28"/>
      <c r="AB876" s="28"/>
      <c r="AM876" s="28"/>
    </row>
    <row r="877" spans="7:39" ht="13">
      <c r="G877" s="28"/>
      <c r="H877" s="28"/>
      <c r="I877" s="28"/>
      <c r="J877" s="28"/>
      <c r="N877" s="63"/>
      <c r="O877" s="63"/>
      <c r="P877" s="28"/>
      <c r="AB877" s="28"/>
      <c r="AM877" s="28"/>
    </row>
    <row r="878" spans="7:39" ht="13">
      <c r="G878" s="28"/>
      <c r="H878" s="28"/>
      <c r="I878" s="28"/>
      <c r="J878" s="28"/>
      <c r="N878" s="63"/>
      <c r="O878" s="63"/>
      <c r="P878" s="28"/>
      <c r="AB878" s="28"/>
      <c r="AM878" s="28"/>
    </row>
    <row r="879" spans="7:39" ht="13">
      <c r="G879" s="28"/>
      <c r="H879" s="28"/>
      <c r="I879" s="28"/>
      <c r="J879" s="28"/>
      <c r="N879" s="63"/>
      <c r="O879" s="63"/>
      <c r="P879" s="28"/>
      <c r="AB879" s="28"/>
      <c r="AM879" s="28"/>
    </row>
    <row r="880" spans="7:39" ht="13">
      <c r="G880" s="28"/>
      <c r="H880" s="28"/>
      <c r="I880" s="28"/>
      <c r="J880" s="28"/>
      <c r="N880" s="63"/>
      <c r="O880" s="63"/>
      <c r="P880" s="28"/>
      <c r="AB880" s="28"/>
      <c r="AM880" s="28"/>
    </row>
    <row r="881" spans="7:39" ht="13">
      <c r="G881" s="28"/>
      <c r="H881" s="28"/>
      <c r="I881" s="28"/>
      <c r="J881" s="28"/>
      <c r="N881" s="63"/>
      <c r="O881" s="63"/>
      <c r="P881" s="28"/>
      <c r="AB881" s="28"/>
      <c r="AM881" s="28"/>
    </row>
    <row r="882" spans="7:39" ht="13">
      <c r="G882" s="28"/>
      <c r="H882" s="28"/>
      <c r="I882" s="28"/>
      <c r="J882" s="28"/>
      <c r="N882" s="63"/>
      <c r="O882" s="63"/>
      <c r="P882" s="28"/>
      <c r="AB882" s="28"/>
      <c r="AM882" s="28"/>
    </row>
    <row r="883" spans="7:39" ht="13">
      <c r="G883" s="28"/>
      <c r="H883" s="28"/>
      <c r="I883" s="28"/>
      <c r="J883" s="28"/>
      <c r="N883" s="63"/>
      <c r="O883" s="63"/>
      <c r="P883" s="28"/>
      <c r="AB883" s="28"/>
      <c r="AM883" s="28"/>
    </row>
    <row r="884" spans="7:39" ht="13">
      <c r="G884" s="28"/>
      <c r="H884" s="28"/>
      <c r="I884" s="28"/>
      <c r="J884" s="28"/>
      <c r="N884" s="63"/>
      <c r="O884" s="63"/>
      <c r="P884" s="28"/>
      <c r="AB884" s="28"/>
      <c r="AM884" s="28"/>
    </row>
    <row r="885" spans="7:39" ht="13">
      <c r="G885" s="28"/>
      <c r="H885" s="28"/>
      <c r="I885" s="28"/>
      <c r="J885" s="28"/>
      <c r="N885" s="63"/>
      <c r="O885" s="63"/>
      <c r="P885" s="28"/>
      <c r="AB885" s="28"/>
      <c r="AM885" s="28"/>
    </row>
    <row r="886" spans="7:39" ht="13">
      <c r="G886" s="28"/>
      <c r="H886" s="28"/>
      <c r="I886" s="28"/>
      <c r="J886" s="28"/>
      <c r="N886" s="63"/>
      <c r="O886" s="63"/>
      <c r="P886" s="28"/>
      <c r="AB886" s="28"/>
      <c r="AM886" s="28"/>
    </row>
    <row r="887" spans="7:39" ht="13">
      <c r="G887" s="28"/>
      <c r="H887" s="28"/>
      <c r="I887" s="28"/>
      <c r="J887" s="28"/>
      <c r="N887" s="63"/>
      <c r="O887" s="63"/>
      <c r="P887" s="28"/>
      <c r="AB887" s="28"/>
      <c r="AM887" s="28"/>
    </row>
    <row r="888" spans="7:39" ht="13">
      <c r="G888" s="28"/>
      <c r="H888" s="28"/>
      <c r="I888" s="28"/>
      <c r="J888" s="28"/>
      <c r="N888" s="63"/>
      <c r="O888" s="63"/>
      <c r="P888" s="28"/>
      <c r="AB888" s="28"/>
      <c r="AM888" s="28"/>
    </row>
    <row r="889" spans="7:39" ht="13">
      <c r="G889" s="28"/>
      <c r="H889" s="28"/>
      <c r="I889" s="28"/>
      <c r="J889" s="28"/>
      <c r="N889" s="63"/>
      <c r="O889" s="63"/>
      <c r="P889" s="28"/>
      <c r="AB889" s="28"/>
      <c r="AM889" s="28"/>
    </row>
    <row r="890" spans="7:39" ht="13">
      <c r="G890" s="28"/>
      <c r="H890" s="28"/>
      <c r="I890" s="28"/>
      <c r="J890" s="28"/>
      <c r="N890" s="63"/>
      <c r="O890" s="63"/>
      <c r="P890" s="28"/>
      <c r="AB890" s="28"/>
      <c r="AM890" s="28"/>
    </row>
    <row r="891" spans="7:39" ht="13">
      <c r="G891" s="28"/>
      <c r="H891" s="28"/>
      <c r="I891" s="28"/>
      <c r="J891" s="28"/>
      <c r="N891" s="63"/>
      <c r="O891" s="63"/>
      <c r="P891" s="28"/>
      <c r="AB891" s="28"/>
      <c r="AM891" s="28"/>
    </row>
    <row r="892" spans="7:39" ht="13">
      <c r="G892" s="28"/>
      <c r="H892" s="28"/>
      <c r="I892" s="28"/>
      <c r="J892" s="28"/>
      <c r="N892" s="63"/>
      <c r="O892" s="63"/>
      <c r="P892" s="28"/>
      <c r="AB892" s="28"/>
      <c r="AM892" s="28"/>
    </row>
    <row r="893" spans="7:39" ht="13">
      <c r="G893" s="28"/>
      <c r="H893" s="28"/>
      <c r="I893" s="28"/>
      <c r="J893" s="28"/>
      <c r="N893" s="63"/>
      <c r="O893" s="63"/>
      <c r="P893" s="28"/>
      <c r="AB893" s="28"/>
      <c r="AM893" s="28"/>
    </row>
    <row r="894" spans="7:39" ht="13">
      <c r="G894" s="28"/>
      <c r="H894" s="28"/>
      <c r="I894" s="28"/>
      <c r="J894" s="28"/>
      <c r="N894" s="63"/>
      <c r="O894" s="63"/>
      <c r="P894" s="28"/>
      <c r="AB894" s="28"/>
      <c r="AM894" s="28"/>
    </row>
    <row r="895" spans="7:39" ht="13">
      <c r="G895" s="28"/>
      <c r="H895" s="28"/>
      <c r="I895" s="28"/>
      <c r="J895" s="28"/>
      <c r="N895" s="63"/>
      <c r="O895" s="63"/>
      <c r="P895" s="28"/>
      <c r="AB895" s="28"/>
      <c r="AM895" s="28"/>
    </row>
    <row r="896" spans="7:39" ht="13">
      <c r="G896" s="28"/>
      <c r="H896" s="28"/>
      <c r="I896" s="28"/>
      <c r="J896" s="28"/>
      <c r="N896" s="63"/>
      <c r="O896" s="63"/>
      <c r="P896" s="28"/>
      <c r="AB896" s="28"/>
      <c r="AM896" s="28"/>
    </row>
    <row r="897" spans="7:39" ht="13">
      <c r="G897" s="28"/>
      <c r="H897" s="28"/>
      <c r="I897" s="28"/>
      <c r="J897" s="28"/>
      <c r="N897" s="63"/>
      <c r="O897" s="63"/>
      <c r="P897" s="28"/>
      <c r="AB897" s="28"/>
      <c r="AM897" s="28"/>
    </row>
    <row r="898" spans="7:39" ht="13">
      <c r="G898" s="28"/>
      <c r="H898" s="28"/>
      <c r="I898" s="28"/>
      <c r="J898" s="28"/>
      <c r="N898" s="63"/>
      <c r="O898" s="63"/>
      <c r="P898" s="28"/>
      <c r="AB898" s="28"/>
      <c r="AM898" s="28"/>
    </row>
    <row r="899" spans="7:39" ht="13">
      <c r="G899" s="28"/>
      <c r="H899" s="28"/>
      <c r="I899" s="28"/>
      <c r="J899" s="28"/>
      <c r="N899" s="63"/>
      <c r="O899" s="63"/>
      <c r="P899" s="28"/>
      <c r="AB899" s="28"/>
      <c r="AM899" s="28"/>
    </row>
    <row r="900" spans="7:39" ht="13">
      <c r="G900" s="28"/>
      <c r="H900" s="28"/>
      <c r="I900" s="28"/>
      <c r="J900" s="28"/>
      <c r="N900" s="63"/>
      <c r="O900" s="63"/>
      <c r="P900" s="28"/>
      <c r="AB900" s="28"/>
      <c r="AM900" s="28"/>
    </row>
    <row r="901" spans="7:39" ht="13">
      <c r="G901" s="28"/>
      <c r="H901" s="28"/>
      <c r="I901" s="28"/>
      <c r="J901" s="28"/>
      <c r="N901" s="63"/>
      <c r="O901" s="63"/>
      <c r="P901" s="28"/>
      <c r="AB901" s="28"/>
      <c r="AM901" s="28"/>
    </row>
    <row r="902" spans="7:39" ht="13">
      <c r="G902" s="28"/>
      <c r="H902" s="28"/>
      <c r="I902" s="28"/>
      <c r="J902" s="28"/>
      <c r="N902" s="63"/>
      <c r="O902" s="63"/>
      <c r="P902" s="28"/>
      <c r="AB902" s="28"/>
      <c r="AM902" s="28"/>
    </row>
    <row r="903" spans="7:39" ht="13">
      <c r="G903" s="28"/>
      <c r="H903" s="28"/>
      <c r="I903" s="28"/>
      <c r="J903" s="28"/>
      <c r="N903" s="63"/>
      <c r="O903" s="63"/>
      <c r="P903" s="28"/>
      <c r="AB903" s="28"/>
      <c r="AM903" s="28"/>
    </row>
    <row r="904" spans="7:39" ht="13">
      <c r="G904" s="28"/>
      <c r="H904" s="28"/>
      <c r="I904" s="28"/>
      <c r="J904" s="28"/>
      <c r="N904" s="63"/>
      <c r="O904" s="63"/>
      <c r="P904" s="28"/>
      <c r="AB904" s="28"/>
      <c r="AM904" s="28"/>
    </row>
    <row r="905" spans="7:39" ht="13">
      <c r="G905" s="28"/>
      <c r="H905" s="28"/>
      <c r="I905" s="28"/>
      <c r="J905" s="28"/>
      <c r="N905" s="63"/>
      <c r="O905" s="63"/>
      <c r="P905" s="28"/>
      <c r="AB905" s="28"/>
      <c r="AM905" s="28"/>
    </row>
    <row r="906" spans="7:39" ht="13">
      <c r="G906" s="28"/>
      <c r="H906" s="28"/>
      <c r="I906" s="28"/>
      <c r="J906" s="28"/>
      <c r="N906" s="63"/>
      <c r="O906" s="63"/>
      <c r="P906" s="28"/>
      <c r="AB906" s="28"/>
      <c r="AM906" s="28"/>
    </row>
    <row r="907" spans="7:39" ht="13">
      <c r="G907" s="28"/>
      <c r="H907" s="28"/>
      <c r="I907" s="28"/>
      <c r="J907" s="28"/>
      <c r="N907" s="63"/>
      <c r="O907" s="63"/>
      <c r="P907" s="28"/>
      <c r="AB907" s="28"/>
      <c r="AM907" s="28"/>
    </row>
    <row r="908" spans="7:39" ht="13">
      <c r="G908" s="28"/>
      <c r="H908" s="28"/>
      <c r="I908" s="28"/>
      <c r="J908" s="28"/>
      <c r="N908" s="63"/>
      <c r="O908" s="63"/>
      <c r="P908" s="28"/>
      <c r="AB908" s="28"/>
      <c r="AM908" s="28"/>
    </row>
    <row r="909" spans="7:39" ht="13">
      <c r="G909" s="28"/>
      <c r="H909" s="28"/>
      <c r="I909" s="28"/>
      <c r="J909" s="28"/>
      <c r="N909" s="63"/>
      <c r="O909" s="63"/>
      <c r="P909" s="28"/>
      <c r="AB909" s="28"/>
      <c r="AM909" s="28"/>
    </row>
    <row r="910" spans="7:39" ht="13">
      <c r="G910" s="28"/>
      <c r="H910" s="28"/>
      <c r="I910" s="28"/>
      <c r="J910" s="28"/>
      <c r="N910" s="63"/>
      <c r="O910" s="63"/>
      <c r="P910" s="28"/>
      <c r="AB910" s="28"/>
      <c r="AM910" s="28"/>
    </row>
    <row r="911" spans="7:39" ht="13">
      <c r="G911" s="28"/>
      <c r="H911" s="28"/>
      <c r="I911" s="28"/>
      <c r="J911" s="28"/>
      <c r="N911" s="63"/>
      <c r="O911" s="63"/>
      <c r="P911" s="28"/>
      <c r="AB911" s="28"/>
      <c r="AM911" s="28"/>
    </row>
    <row r="912" spans="7:39" ht="13">
      <c r="G912" s="28"/>
      <c r="H912" s="28"/>
      <c r="I912" s="28"/>
      <c r="J912" s="28"/>
      <c r="N912" s="63"/>
      <c r="O912" s="63"/>
      <c r="P912" s="28"/>
      <c r="AB912" s="28"/>
      <c r="AM912" s="28"/>
    </row>
    <row r="913" spans="7:39" ht="13">
      <c r="G913" s="28"/>
      <c r="H913" s="28"/>
      <c r="I913" s="28"/>
      <c r="J913" s="28"/>
      <c r="N913" s="63"/>
      <c r="O913" s="63"/>
      <c r="P913" s="28"/>
      <c r="AB913" s="28"/>
      <c r="AM913" s="28"/>
    </row>
    <row r="914" spans="7:39" ht="13">
      <c r="G914" s="28"/>
      <c r="H914" s="28"/>
      <c r="I914" s="28"/>
      <c r="J914" s="28"/>
      <c r="N914" s="63"/>
      <c r="O914" s="63"/>
      <c r="P914" s="28"/>
      <c r="AB914" s="28"/>
      <c r="AM914" s="28"/>
    </row>
    <row r="915" spans="7:39" ht="13">
      <c r="G915" s="28"/>
      <c r="H915" s="28"/>
      <c r="I915" s="28"/>
      <c r="J915" s="28"/>
      <c r="N915" s="63"/>
      <c r="O915" s="63"/>
      <c r="P915" s="28"/>
      <c r="AB915" s="28"/>
      <c r="AM915" s="28"/>
    </row>
    <row r="916" spans="7:39" ht="13">
      <c r="G916" s="28"/>
      <c r="H916" s="28"/>
      <c r="I916" s="28"/>
      <c r="J916" s="28"/>
      <c r="N916" s="63"/>
      <c r="O916" s="63"/>
      <c r="P916" s="28"/>
      <c r="AB916" s="28"/>
      <c r="AM916" s="28"/>
    </row>
    <row r="917" spans="7:39" ht="13">
      <c r="G917" s="28"/>
      <c r="H917" s="28"/>
      <c r="I917" s="28"/>
      <c r="J917" s="28"/>
      <c r="N917" s="63"/>
      <c r="O917" s="63"/>
      <c r="P917" s="28"/>
      <c r="AB917" s="28"/>
      <c r="AM917" s="28"/>
    </row>
    <row r="918" spans="7:39" ht="13">
      <c r="G918" s="28"/>
      <c r="H918" s="28"/>
      <c r="I918" s="28"/>
      <c r="J918" s="28"/>
      <c r="N918" s="63"/>
      <c r="O918" s="63"/>
      <c r="P918" s="28"/>
      <c r="AB918" s="28"/>
      <c r="AM918" s="28"/>
    </row>
    <row r="919" spans="7:39" ht="13">
      <c r="G919" s="28"/>
      <c r="H919" s="28"/>
      <c r="I919" s="28"/>
      <c r="J919" s="28"/>
      <c r="N919" s="63"/>
      <c r="O919" s="63"/>
      <c r="P919" s="28"/>
      <c r="AB919" s="28"/>
      <c r="AM919" s="28"/>
    </row>
    <row r="920" spans="7:39" ht="13">
      <c r="G920" s="28"/>
      <c r="H920" s="28"/>
      <c r="I920" s="28"/>
      <c r="J920" s="28"/>
      <c r="N920" s="63"/>
      <c r="O920" s="63"/>
      <c r="P920" s="28"/>
      <c r="AB920" s="28"/>
      <c r="AM920" s="28"/>
    </row>
    <row r="921" spans="7:39" ht="13">
      <c r="G921" s="28"/>
      <c r="H921" s="28"/>
      <c r="I921" s="28"/>
      <c r="J921" s="28"/>
      <c r="N921" s="63"/>
      <c r="O921" s="63"/>
      <c r="P921" s="28"/>
      <c r="AB921" s="28"/>
      <c r="AM921" s="28"/>
    </row>
    <row r="922" spans="7:39" ht="13">
      <c r="G922" s="28"/>
      <c r="H922" s="28"/>
      <c r="I922" s="28"/>
      <c r="J922" s="28"/>
      <c r="N922" s="63"/>
      <c r="O922" s="63"/>
      <c r="P922" s="28"/>
      <c r="AB922" s="28"/>
      <c r="AM922" s="28"/>
    </row>
    <row r="923" spans="7:39" ht="13">
      <c r="G923" s="28"/>
      <c r="H923" s="28"/>
      <c r="I923" s="28"/>
      <c r="J923" s="28"/>
      <c r="N923" s="63"/>
      <c r="O923" s="63"/>
      <c r="P923" s="28"/>
      <c r="AB923" s="28"/>
      <c r="AM923" s="28"/>
    </row>
    <row r="924" spans="7:39" ht="13">
      <c r="G924" s="28"/>
      <c r="H924" s="28"/>
      <c r="I924" s="28"/>
      <c r="J924" s="28"/>
      <c r="N924" s="63"/>
      <c r="O924" s="63"/>
      <c r="P924" s="28"/>
      <c r="AB924" s="28"/>
      <c r="AM924" s="28"/>
    </row>
    <row r="925" spans="7:39" ht="13">
      <c r="G925" s="28"/>
      <c r="H925" s="28"/>
      <c r="I925" s="28"/>
      <c r="J925" s="28"/>
      <c r="N925" s="63"/>
      <c r="O925" s="63"/>
      <c r="P925" s="28"/>
      <c r="AB925" s="28"/>
      <c r="AM925" s="28"/>
    </row>
    <row r="926" spans="7:39" ht="13">
      <c r="G926" s="28"/>
      <c r="H926" s="28"/>
      <c r="I926" s="28"/>
      <c r="J926" s="28"/>
      <c r="N926" s="63"/>
      <c r="O926" s="63"/>
      <c r="P926" s="28"/>
      <c r="AB926" s="28"/>
      <c r="AM926" s="28"/>
    </row>
    <row r="927" spans="7:39" ht="13">
      <c r="G927" s="28"/>
      <c r="H927" s="28"/>
      <c r="I927" s="28"/>
      <c r="J927" s="28"/>
      <c r="N927" s="63"/>
      <c r="O927" s="63"/>
      <c r="P927" s="28"/>
      <c r="AB927" s="28"/>
      <c r="AM927" s="28"/>
    </row>
    <row r="928" spans="7:39" ht="13">
      <c r="G928" s="28"/>
      <c r="H928" s="28"/>
      <c r="I928" s="28"/>
      <c r="J928" s="28"/>
      <c r="N928" s="63"/>
      <c r="O928" s="63"/>
      <c r="P928" s="28"/>
      <c r="AB928" s="28"/>
      <c r="AM928" s="28"/>
    </row>
    <row r="929" spans="7:39" ht="13">
      <c r="G929" s="28"/>
      <c r="H929" s="28"/>
      <c r="I929" s="28"/>
      <c r="J929" s="28"/>
      <c r="N929" s="63"/>
      <c r="O929" s="63"/>
      <c r="P929" s="28"/>
      <c r="AB929" s="28"/>
      <c r="AM929" s="28"/>
    </row>
    <row r="930" spans="7:39" ht="13">
      <c r="G930" s="28"/>
      <c r="H930" s="28"/>
      <c r="I930" s="28"/>
      <c r="J930" s="28"/>
      <c r="N930" s="63"/>
      <c r="O930" s="63"/>
      <c r="P930" s="28"/>
      <c r="AB930" s="28"/>
      <c r="AM930" s="28"/>
    </row>
    <row r="931" spans="7:39" ht="13">
      <c r="G931" s="28"/>
      <c r="H931" s="28"/>
      <c r="I931" s="28"/>
      <c r="J931" s="28"/>
      <c r="N931" s="63"/>
      <c r="O931" s="63"/>
      <c r="P931" s="28"/>
      <c r="AB931" s="28"/>
      <c r="AM931" s="28"/>
    </row>
    <row r="932" spans="7:39" ht="13">
      <c r="G932" s="28"/>
      <c r="H932" s="28"/>
      <c r="I932" s="28"/>
      <c r="J932" s="28"/>
      <c r="N932" s="63"/>
      <c r="O932" s="63"/>
      <c r="P932" s="28"/>
      <c r="AB932" s="28"/>
      <c r="AM932" s="28"/>
    </row>
    <row r="933" spans="7:39" ht="13">
      <c r="G933" s="28"/>
      <c r="H933" s="28"/>
      <c r="I933" s="28"/>
      <c r="J933" s="28"/>
      <c r="N933" s="63"/>
      <c r="O933" s="63"/>
      <c r="P933" s="28"/>
      <c r="AB933" s="28"/>
      <c r="AM933" s="28"/>
    </row>
    <row r="934" spans="7:39" ht="13">
      <c r="G934" s="28"/>
      <c r="H934" s="28"/>
      <c r="I934" s="28"/>
      <c r="J934" s="28"/>
      <c r="N934" s="63"/>
      <c r="O934" s="63"/>
      <c r="P934" s="28"/>
      <c r="AB934" s="28"/>
      <c r="AM934" s="28"/>
    </row>
    <row r="935" spans="7:39" ht="13">
      <c r="G935" s="28"/>
      <c r="H935" s="28"/>
      <c r="I935" s="28"/>
      <c r="J935" s="28"/>
      <c r="N935" s="63"/>
      <c r="O935" s="63"/>
      <c r="P935" s="28"/>
      <c r="AB935" s="28"/>
      <c r="AM935" s="28"/>
    </row>
    <row r="936" spans="7:39" ht="13">
      <c r="G936" s="28"/>
      <c r="H936" s="28"/>
      <c r="I936" s="28"/>
      <c r="J936" s="28"/>
      <c r="N936" s="63"/>
      <c r="O936" s="63"/>
      <c r="P936" s="28"/>
      <c r="AB936" s="28"/>
      <c r="AM936" s="28"/>
    </row>
    <row r="937" spans="7:39" ht="13">
      <c r="G937" s="28"/>
      <c r="H937" s="28"/>
      <c r="I937" s="28"/>
      <c r="J937" s="28"/>
      <c r="N937" s="63"/>
      <c r="O937" s="63"/>
      <c r="P937" s="28"/>
      <c r="AB937" s="28"/>
      <c r="AM937" s="28"/>
    </row>
    <row r="938" spans="7:39" ht="13">
      <c r="G938" s="28"/>
      <c r="H938" s="28"/>
      <c r="I938" s="28"/>
      <c r="J938" s="28"/>
      <c r="N938" s="63"/>
      <c r="O938" s="63"/>
      <c r="P938" s="28"/>
      <c r="AB938" s="28"/>
      <c r="AM938" s="28"/>
    </row>
    <row r="939" spans="7:39" ht="13">
      <c r="G939" s="28"/>
      <c r="H939" s="28"/>
      <c r="I939" s="28"/>
      <c r="J939" s="28"/>
      <c r="N939" s="63"/>
      <c r="O939" s="63"/>
      <c r="P939" s="28"/>
      <c r="AB939" s="28"/>
      <c r="AM939" s="28"/>
    </row>
    <row r="940" spans="7:39" ht="13">
      <c r="G940" s="28"/>
      <c r="H940" s="28"/>
      <c r="I940" s="28"/>
      <c r="J940" s="28"/>
      <c r="N940" s="63"/>
      <c r="O940" s="63"/>
      <c r="P940" s="28"/>
      <c r="AB940" s="28"/>
      <c r="AM940" s="28"/>
    </row>
    <row r="941" spans="7:39" ht="13">
      <c r="G941" s="28"/>
      <c r="H941" s="28"/>
      <c r="I941" s="28"/>
      <c r="J941" s="28"/>
      <c r="N941" s="63"/>
      <c r="O941" s="63"/>
      <c r="P941" s="28"/>
      <c r="AB941" s="28"/>
      <c r="AM941" s="28"/>
    </row>
    <row r="942" spans="7:39" ht="13">
      <c r="G942" s="28"/>
      <c r="H942" s="28"/>
      <c r="I942" s="28"/>
      <c r="J942" s="28"/>
      <c r="N942" s="63"/>
      <c r="O942" s="63"/>
      <c r="P942" s="28"/>
      <c r="AB942" s="28"/>
      <c r="AM942" s="28"/>
    </row>
    <row r="943" spans="7:39" ht="13">
      <c r="G943" s="28"/>
      <c r="H943" s="28"/>
      <c r="I943" s="28"/>
      <c r="J943" s="28"/>
      <c r="N943" s="63"/>
      <c r="O943" s="63"/>
      <c r="P943" s="28"/>
      <c r="AB943" s="28"/>
      <c r="AM943" s="28"/>
    </row>
    <row r="944" spans="7:39" ht="13">
      <c r="G944" s="28"/>
      <c r="H944" s="28"/>
      <c r="I944" s="28"/>
      <c r="J944" s="28"/>
      <c r="N944" s="63"/>
      <c r="O944" s="63"/>
      <c r="P944" s="28"/>
      <c r="AB944" s="28"/>
      <c r="AM944" s="28"/>
    </row>
    <row r="945" spans="7:39" ht="13">
      <c r="G945" s="28"/>
      <c r="H945" s="28"/>
      <c r="I945" s="28"/>
      <c r="J945" s="28"/>
      <c r="N945" s="63"/>
      <c r="O945" s="63"/>
      <c r="P945" s="28"/>
      <c r="AB945" s="28"/>
      <c r="AM945" s="28"/>
    </row>
    <row r="946" spans="7:39" ht="13">
      <c r="G946" s="28"/>
      <c r="H946" s="28"/>
      <c r="I946" s="28"/>
      <c r="J946" s="28"/>
      <c r="N946" s="63"/>
      <c r="O946" s="63"/>
      <c r="P946" s="28"/>
      <c r="AB946" s="28"/>
      <c r="AM946" s="28"/>
    </row>
    <row r="947" spans="7:39" ht="13">
      <c r="G947" s="28"/>
      <c r="H947" s="28"/>
      <c r="I947" s="28"/>
      <c r="J947" s="28"/>
      <c r="N947" s="63"/>
      <c r="O947" s="63"/>
      <c r="P947" s="28"/>
      <c r="AB947" s="28"/>
      <c r="AM947" s="28"/>
    </row>
    <row r="948" spans="7:39" ht="13">
      <c r="G948" s="28"/>
      <c r="H948" s="28"/>
      <c r="I948" s="28"/>
      <c r="J948" s="28"/>
      <c r="N948" s="63"/>
      <c r="O948" s="63"/>
      <c r="P948" s="28"/>
      <c r="AB948" s="28"/>
      <c r="AM948" s="28"/>
    </row>
    <row r="949" spans="7:39" ht="13">
      <c r="G949" s="28"/>
      <c r="H949" s="28"/>
      <c r="I949" s="28"/>
      <c r="J949" s="28"/>
      <c r="N949" s="63"/>
      <c r="O949" s="63"/>
      <c r="P949" s="28"/>
      <c r="AB949" s="28"/>
      <c r="AM949" s="28"/>
    </row>
    <row r="950" spans="7:39" ht="13">
      <c r="G950" s="28"/>
      <c r="H950" s="28"/>
      <c r="I950" s="28"/>
      <c r="J950" s="28"/>
      <c r="N950" s="63"/>
      <c r="O950" s="63"/>
      <c r="P950" s="28"/>
      <c r="AB950" s="28"/>
      <c r="AM950" s="28"/>
    </row>
    <row r="951" spans="7:39" ht="13">
      <c r="G951" s="28"/>
      <c r="H951" s="28"/>
      <c r="I951" s="28"/>
      <c r="J951" s="28"/>
      <c r="N951" s="63"/>
      <c r="O951" s="63"/>
      <c r="P951" s="28"/>
      <c r="AB951" s="28"/>
      <c r="AM951" s="28"/>
    </row>
    <row r="952" spans="7:39" ht="13">
      <c r="G952" s="28"/>
      <c r="H952" s="28"/>
      <c r="I952" s="28"/>
      <c r="J952" s="28"/>
      <c r="N952" s="63"/>
      <c r="O952" s="63"/>
      <c r="P952" s="28"/>
      <c r="AB952" s="28"/>
      <c r="AM952" s="28"/>
    </row>
    <row r="953" spans="7:39" ht="13">
      <c r="G953" s="28"/>
      <c r="H953" s="28"/>
      <c r="I953" s="28"/>
      <c r="J953" s="28"/>
      <c r="N953" s="63"/>
      <c r="O953" s="63"/>
      <c r="P953" s="28"/>
      <c r="AB953" s="28"/>
      <c r="AM953" s="28"/>
    </row>
    <row r="954" spans="7:39" ht="13">
      <c r="G954" s="28"/>
      <c r="H954" s="28"/>
      <c r="I954" s="28"/>
      <c r="J954" s="28"/>
      <c r="N954" s="63"/>
      <c r="O954" s="63"/>
      <c r="P954" s="28"/>
      <c r="AB954" s="28"/>
      <c r="AM954" s="28"/>
    </row>
    <row r="955" spans="7:39" ht="13">
      <c r="G955" s="28"/>
      <c r="H955" s="28"/>
      <c r="I955" s="28"/>
      <c r="J955" s="28"/>
      <c r="N955" s="63"/>
      <c r="O955" s="63"/>
      <c r="P955" s="28"/>
      <c r="AB955" s="28"/>
      <c r="AM955" s="28"/>
    </row>
    <row r="956" spans="7:39" ht="13">
      <c r="G956" s="28"/>
      <c r="H956" s="28"/>
      <c r="I956" s="28"/>
      <c r="J956" s="28"/>
      <c r="N956" s="63"/>
      <c r="O956" s="63"/>
      <c r="P956" s="28"/>
      <c r="AB956" s="28"/>
      <c r="AM956" s="28"/>
    </row>
    <row r="957" spans="7:39" ht="13">
      <c r="G957" s="28"/>
      <c r="H957" s="28"/>
      <c r="I957" s="28"/>
      <c r="J957" s="28"/>
      <c r="N957" s="63"/>
      <c r="O957" s="63"/>
      <c r="P957" s="28"/>
      <c r="AB957" s="28"/>
      <c r="AM957" s="28"/>
    </row>
    <row r="958" spans="7:39" ht="13">
      <c r="G958" s="28"/>
      <c r="H958" s="28"/>
      <c r="I958" s="28"/>
      <c r="J958" s="28"/>
      <c r="N958" s="63"/>
      <c r="O958" s="63"/>
      <c r="P958" s="28"/>
      <c r="AB958" s="28"/>
      <c r="AM958" s="28"/>
    </row>
    <row r="959" spans="7:39" ht="13">
      <c r="G959" s="28"/>
      <c r="H959" s="28"/>
      <c r="I959" s="28"/>
      <c r="J959" s="28"/>
      <c r="N959" s="63"/>
      <c r="O959" s="63"/>
      <c r="P959" s="28"/>
      <c r="AB959" s="28"/>
      <c r="AM959" s="28"/>
    </row>
    <row r="960" spans="7:39" ht="13">
      <c r="G960" s="28"/>
      <c r="H960" s="28"/>
      <c r="I960" s="28"/>
      <c r="J960" s="28"/>
      <c r="N960" s="63"/>
      <c r="O960" s="63"/>
      <c r="P960" s="28"/>
      <c r="AB960" s="28"/>
      <c r="AM960" s="28"/>
    </row>
    <row r="961" spans="7:39" ht="13">
      <c r="G961" s="28"/>
      <c r="H961" s="28"/>
      <c r="I961" s="28"/>
      <c r="J961" s="28"/>
      <c r="N961" s="63"/>
      <c r="O961" s="63"/>
      <c r="P961" s="28"/>
      <c r="AB961" s="28"/>
      <c r="AM961" s="28"/>
    </row>
    <row r="962" spans="7:39" ht="13">
      <c r="G962" s="28"/>
      <c r="H962" s="28"/>
      <c r="I962" s="28"/>
      <c r="J962" s="28"/>
      <c r="N962" s="63"/>
      <c r="O962" s="63"/>
      <c r="P962" s="28"/>
      <c r="AB962" s="28"/>
      <c r="AM962" s="28"/>
    </row>
    <row r="963" spans="7:39" ht="13">
      <c r="G963" s="28"/>
      <c r="H963" s="28"/>
      <c r="I963" s="28"/>
      <c r="J963" s="28"/>
      <c r="N963" s="63"/>
      <c r="O963" s="63"/>
      <c r="P963" s="28"/>
      <c r="AB963" s="28"/>
      <c r="AM963" s="28"/>
    </row>
    <row r="964" spans="7:39" ht="13">
      <c r="G964" s="28"/>
      <c r="H964" s="28"/>
      <c r="I964" s="28"/>
      <c r="J964" s="28"/>
      <c r="N964" s="63"/>
      <c r="O964" s="63"/>
      <c r="P964" s="28"/>
      <c r="AB964" s="28"/>
      <c r="AM964" s="28"/>
    </row>
    <row r="965" spans="7:39" ht="13">
      <c r="G965" s="28"/>
      <c r="H965" s="28"/>
      <c r="I965" s="28"/>
      <c r="J965" s="28"/>
      <c r="N965" s="63"/>
      <c r="O965" s="63"/>
      <c r="P965" s="28"/>
      <c r="AB965" s="28"/>
      <c r="AM965" s="28"/>
    </row>
    <row r="966" spans="7:39" ht="13">
      <c r="G966" s="28"/>
      <c r="H966" s="28"/>
      <c r="I966" s="28"/>
      <c r="J966" s="28"/>
      <c r="N966" s="63"/>
      <c r="O966" s="63"/>
      <c r="P966" s="28"/>
      <c r="AB966" s="28"/>
      <c r="AM966" s="28"/>
    </row>
    <row r="967" spans="7:39" ht="13">
      <c r="G967" s="28"/>
      <c r="H967" s="28"/>
      <c r="I967" s="28"/>
      <c r="J967" s="28"/>
      <c r="N967" s="63"/>
      <c r="O967" s="63"/>
      <c r="P967" s="28"/>
      <c r="AB967" s="28"/>
      <c r="AM967" s="28"/>
    </row>
    <row r="968" spans="7:39" ht="13">
      <c r="G968" s="28"/>
      <c r="H968" s="28"/>
      <c r="I968" s="28"/>
      <c r="J968" s="28"/>
      <c r="N968" s="63"/>
      <c r="O968" s="63"/>
      <c r="P968" s="28"/>
      <c r="AB968" s="28"/>
      <c r="AM968" s="28"/>
    </row>
    <row r="969" spans="7:39" ht="13">
      <c r="G969" s="28"/>
      <c r="H969" s="28"/>
      <c r="I969" s="28"/>
      <c r="J969" s="28"/>
      <c r="N969" s="63"/>
      <c r="O969" s="63"/>
      <c r="P969" s="28"/>
      <c r="AB969" s="28"/>
      <c r="AM969" s="28"/>
    </row>
    <row r="970" spans="7:39" ht="13">
      <c r="G970" s="28"/>
      <c r="H970" s="28"/>
      <c r="I970" s="28"/>
      <c r="J970" s="28"/>
      <c r="N970" s="63"/>
      <c r="O970" s="63"/>
      <c r="P970" s="28"/>
      <c r="AB970" s="28"/>
      <c r="AM970" s="28"/>
    </row>
    <row r="971" spans="7:39" ht="13">
      <c r="G971" s="28"/>
      <c r="H971" s="28"/>
      <c r="I971" s="28"/>
      <c r="J971" s="28"/>
      <c r="N971" s="63"/>
      <c r="O971" s="63"/>
      <c r="P971" s="28"/>
      <c r="AB971" s="28"/>
      <c r="AM971" s="28"/>
    </row>
    <row r="972" spans="7:39" ht="13">
      <c r="G972" s="28"/>
      <c r="H972" s="28"/>
      <c r="I972" s="28"/>
      <c r="J972" s="28"/>
      <c r="N972" s="63"/>
      <c r="O972" s="63"/>
      <c r="P972" s="28"/>
      <c r="AB972" s="28"/>
      <c r="AM972" s="28"/>
    </row>
    <row r="973" spans="7:39" ht="13">
      <c r="G973" s="28"/>
      <c r="H973" s="28"/>
      <c r="I973" s="28"/>
      <c r="J973" s="28"/>
      <c r="N973" s="63"/>
      <c r="O973" s="63"/>
      <c r="P973" s="28"/>
      <c r="AB973" s="28"/>
      <c r="AM973" s="28"/>
    </row>
    <row r="974" spans="7:39" ht="13">
      <c r="G974" s="28"/>
      <c r="H974" s="28"/>
      <c r="I974" s="28"/>
      <c r="J974" s="28"/>
      <c r="N974" s="63"/>
      <c r="O974" s="63"/>
      <c r="P974" s="28"/>
      <c r="AB974" s="28"/>
      <c r="AM974" s="28"/>
    </row>
    <row r="975" spans="7:39" ht="13">
      <c r="G975" s="28"/>
      <c r="H975" s="28"/>
      <c r="I975" s="28"/>
      <c r="J975" s="28"/>
      <c r="N975" s="63"/>
      <c r="O975" s="63"/>
      <c r="P975" s="28"/>
      <c r="AB975" s="28"/>
      <c r="AM975" s="28"/>
    </row>
    <row r="976" spans="7:39" ht="13">
      <c r="G976" s="28"/>
      <c r="H976" s="28"/>
      <c r="I976" s="28"/>
      <c r="J976" s="28"/>
      <c r="N976" s="63"/>
      <c r="O976" s="63"/>
      <c r="P976" s="28"/>
      <c r="AB976" s="28"/>
      <c r="AM976" s="28"/>
    </row>
    <row r="977" spans="7:39" ht="13">
      <c r="G977" s="28"/>
      <c r="H977" s="28"/>
      <c r="I977" s="28"/>
      <c r="J977" s="28"/>
      <c r="N977" s="63"/>
      <c r="O977" s="63"/>
      <c r="P977" s="28"/>
      <c r="AB977" s="28"/>
      <c r="AM977" s="28"/>
    </row>
    <row r="978" spans="7:39" ht="13">
      <c r="G978" s="28"/>
      <c r="H978" s="28"/>
      <c r="I978" s="28"/>
      <c r="J978" s="28"/>
      <c r="N978" s="63"/>
      <c r="O978" s="63"/>
      <c r="P978" s="28"/>
      <c r="AB978" s="28"/>
      <c r="AM978" s="28"/>
    </row>
    <row r="979" spans="7:39" ht="13">
      <c r="G979" s="28"/>
      <c r="H979" s="28"/>
      <c r="I979" s="28"/>
      <c r="J979" s="28"/>
      <c r="N979" s="63"/>
      <c r="O979" s="63"/>
      <c r="P979" s="28"/>
      <c r="AB979" s="28"/>
      <c r="AM979" s="28"/>
    </row>
    <row r="980" spans="7:39" ht="13">
      <c r="G980" s="28"/>
      <c r="H980" s="28"/>
      <c r="I980" s="28"/>
      <c r="J980" s="28"/>
      <c r="N980" s="63"/>
      <c r="O980" s="63"/>
      <c r="P980" s="28"/>
      <c r="AB980" s="28"/>
      <c r="AM980" s="28"/>
    </row>
    <row r="981" spans="7:39" ht="13">
      <c r="G981" s="28"/>
      <c r="H981" s="28"/>
      <c r="I981" s="28"/>
      <c r="J981" s="28"/>
      <c r="N981" s="63"/>
      <c r="O981" s="63"/>
      <c r="P981" s="28"/>
      <c r="AB981" s="28"/>
      <c r="AM981" s="28"/>
    </row>
    <row r="982" spans="7:39" ht="13">
      <c r="G982" s="28"/>
      <c r="H982" s="28"/>
      <c r="I982" s="28"/>
      <c r="J982" s="28"/>
      <c r="N982" s="63"/>
      <c r="O982" s="63"/>
      <c r="P982" s="28"/>
      <c r="AB982" s="28"/>
      <c r="AM982" s="28"/>
    </row>
    <row r="983" spans="7:39" ht="13">
      <c r="G983" s="28"/>
      <c r="H983" s="28"/>
      <c r="I983" s="28"/>
      <c r="J983" s="28"/>
      <c r="N983" s="63"/>
      <c r="O983" s="63"/>
      <c r="P983" s="28"/>
      <c r="AB983" s="28"/>
      <c r="AM983" s="28"/>
    </row>
    <row r="984" spans="7:39" ht="13">
      <c r="G984" s="28"/>
      <c r="H984" s="28"/>
      <c r="I984" s="28"/>
      <c r="J984" s="28"/>
      <c r="N984" s="63"/>
      <c r="O984" s="63"/>
      <c r="P984" s="28"/>
      <c r="AB984" s="28"/>
      <c r="AM984" s="28"/>
    </row>
    <row r="985" spans="7:39" ht="13">
      <c r="G985" s="28"/>
      <c r="H985" s="28"/>
      <c r="I985" s="28"/>
      <c r="J985" s="28"/>
      <c r="N985" s="63"/>
      <c r="O985" s="63"/>
      <c r="P985" s="28"/>
      <c r="AB985" s="28"/>
      <c r="AM985" s="28"/>
    </row>
    <row r="986" spans="7:39" ht="13">
      <c r="G986" s="28"/>
      <c r="H986" s="28"/>
      <c r="I986" s="28"/>
      <c r="J986" s="28"/>
      <c r="N986" s="63"/>
      <c r="O986" s="63"/>
      <c r="P986" s="28"/>
      <c r="AB986" s="28"/>
      <c r="AM986" s="28"/>
    </row>
    <row r="987" spans="7:39" ht="13">
      <c r="G987" s="28"/>
      <c r="H987" s="28"/>
      <c r="I987" s="28"/>
      <c r="J987" s="28"/>
      <c r="N987" s="63"/>
      <c r="O987" s="63"/>
      <c r="P987" s="28"/>
      <c r="AB987" s="28"/>
      <c r="AM987" s="28"/>
    </row>
    <row r="988" spans="7:39" ht="13">
      <c r="G988" s="28"/>
      <c r="H988" s="28"/>
      <c r="I988" s="28"/>
      <c r="J988" s="28"/>
      <c r="N988" s="63"/>
      <c r="O988" s="63"/>
      <c r="P988" s="28"/>
      <c r="AB988" s="28"/>
      <c r="AM988" s="28"/>
    </row>
    <row r="989" spans="7:39" ht="13">
      <c r="G989" s="28"/>
      <c r="H989" s="28"/>
      <c r="I989" s="28"/>
      <c r="J989" s="28"/>
      <c r="N989" s="63"/>
      <c r="O989" s="63"/>
      <c r="P989" s="28"/>
      <c r="AB989" s="28"/>
      <c r="AM989" s="28"/>
    </row>
    <row r="990" spans="7:39" ht="13">
      <c r="G990" s="28"/>
      <c r="H990" s="28"/>
      <c r="I990" s="28"/>
      <c r="J990" s="28"/>
      <c r="N990" s="63"/>
      <c r="O990" s="63"/>
      <c r="P990" s="28"/>
      <c r="AB990" s="28"/>
      <c r="AM990" s="28"/>
    </row>
    <row r="991" spans="7:39" ht="13">
      <c r="G991" s="28"/>
      <c r="H991" s="28"/>
      <c r="I991" s="28"/>
      <c r="J991" s="28"/>
      <c r="N991" s="63"/>
      <c r="O991" s="63"/>
      <c r="P991" s="28"/>
      <c r="AB991" s="28"/>
      <c r="AM991" s="28"/>
    </row>
    <row r="992" spans="7:39" ht="13">
      <c r="G992" s="28"/>
      <c r="H992" s="28"/>
      <c r="I992" s="28"/>
      <c r="J992" s="28"/>
      <c r="N992" s="63"/>
      <c r="O992" s="63"/>
      <c r="P992" s="28"/>
      <c r="AB992" s="28"/>
      <c r="AM992" s="28"/>
    </row>
    <row r="993" spans="7:39" ht="13">
      <c r="G993" s="28"/>
      <c r="H993" s="28"/>
      <c r="I993" s="28"/>
      <c r="J993" s="28"/>
      <c r="N993" s="63"/>
      <c r="O993" s="63"/>
      <c r="P993" s="28"/>
      <c r="AB993" s="28"/>
      <c r="AM993" s="28"/>
    </row>
    <row r="994" spans="7:39" ht="13">
      <c r="G994" s="28"/>
      <c r="H994" s="28"/>
      <c r="I994" s="28"/>
      <c r="J994" s="28"/>
      <c r="N994" s="63"/>
      <c r="O994" s="63"/>
      <c r="P994" s="28"/>
      <c r="AB994" s="28"/>
      <c r="AM994" s="28"/>
    </row>
    <row r="995" spans="7:39" ht="13">
      <c r="G995" s="28"/>
      <c r="H995" s="28"/>
      <c r="I995" s="28"/>
      <c r="J995" s="28"/>
      <c r="N995" s="63"/>
      <c r="O995" s="63"/>
      <c r="P995" s="28"/>
      <c r="AB995" s="28"/>
      <c r="AM995" s="28"/>
    </row>
    <row r="996" spans="7:39" ht="13">
      <c r="G996" s="28"/>
      <c r="H996" s="28"/>
      <c r="I996" s="28"/>
      <c r="J996" s="28"/>
      <c r="N996" s="63"/>
      <c r="O996" s="63"/>
      <c r="P996" s="28"/>
      <c r="AB996" s="28"/>
      <c r="AM996" s="28"/>
    </row>
    <row r="997" spans="7:39" ht="13">
      <c r="G997" s="28"/>
      <c r="H997" s="28"/>
      <c r="I997" s="28"/>
      <c r="J997" s="28"/>
      <c r="N997" s="63"/>
      <c r="O997" s="63"/>
      <c r="P997" s="28"/>
      <c r="AB997" s="28"/>
      <c r="AM997" s="28"/>
    </row>
    <row r="998" spans="7:39" ht="13">
      <c r="G998" s="28"/>
      <c r="H998" s="28"/>
      <c r="I998" s="28"/>
      <c r="J998" s="28"/>
      <c r="N998" s="63"/>
      <c r="O998" s="63"/>
      <c r="P998" s="28"/>
      <c r="AB998" s="28"/>
      <c r="AM998" s="28"/>
    </row>
    <row r="999" spans="7:39" ht="13">
      <c r="G999" s="28"/>
      <c r="H999" s="28"/>
      <c r="I999" s="28"/>
      <c r="J999" s="28"/>
      <c r="N999" s="63"/>
      <c r="O999" s="63"/>
      <c r="P999" s="28"/>
      <c r="AB999" s="28"/>
      <c r="AM999" s="28"/>
    </row>
    <row r="1000" spans="7:39" ht="13">
      <c r="G1000" s="28"/>
      <c r="H1000" s="28"/>
      <c r="I1000" s="28"/>
      <c r="J1000" s="28"/>
      <c r="N1000" s="63"/>
      <c r="O1000" s="63"/>
      <c r="P1000" s="28"/>
      <c r="AB1000" s="28"/>
      <c r="AM1000" s="28"/>
    </row>
    <row r="1001" spans="7:39" ht="13">
      <c r="G1001" s="28"/>
      <c r="H1001" s="28"/>
      <c r="I1001" s="28"/>
      <c r="J1001" s="28"/>
      <c r="N1001" s="63"/>
      <c r="O1001" s="63"/>
      <c r="P1001" s="28"/>
      <c r="AB1001" s="28"/>
      <c r="AM1001" s="28"/>
    </row>
    <row r="1002" spans="7:39" ht="13">
      <c r="G1002" s="28"/>
      <c r="H1002" s="28"/>
      <c r="I1002" s="28"/>
      <c r="J1002" s="28"/>
      <c r="N1002" s="63"/>
      <c r="O1002" s="63"/>
      <c r="P1002" s="28"/>
      <c r="AB1002" s="28"/>
      <c r="AM1002" s="28"/>
    </row>
    <row r="1003" spans="7:39" ht="13">
      <c r="G1003" s="28"/>
      <c r="H1003" s="28"/>
      <c r="I1003" s="28"/>
      <c r="J1003" s="28"/>
      <c r="N1003" s="63"/>
      <c r="O1003" s="63"/>
      <c r="P1003" s="28"/>
      <c r="AB1003" s="28"/>
      <c r="AM1003" s="28"/>
    </row>
    <row r="1004" spans="7:39" ht="13">
      <c r="G1004" s="28"/>
      <c r="H1004" s="28"/>
      <c r="I1004" s="28"/>
      <c r="J1004" s="28"/>
      <c r="N1004" s="63"/>
      <c r="O1004" s="63"/>
      <c r="P1004" s="28"/>
      <c r="AB1004" s="28"/>
      <c r="AM1004" s="28"/>
    </row>
    <row r="1005" spans="7:39" ht="13">
      <c r="G1005" s="28"/>
      <c r="H1005" s="28"/>
      <c r="I1005" s="28"/>
      <c r="J1005" s="28"/>
      <c r="N1005" s="63"/>
      <c r="O1005" s="63"/>
      <c r="P1005" s="28"/>
      <c r="AB1005" s="28"/>
      <c r="AM1005" s="28"/>
    </row>
    <row r="1006" spans="7:39" ht="13">
      <c r="G1006" s="28"/>
      <c r="H1006" s="28"/>
      <c r="I1006" s="28"/>
      <c r="J1006" s="28"/>
      <c r="N1006" s="63"/>
      <c r="O1006" s="63"/>
      <c r="P1006" s="28"/>
      <c r="AB1006" s="28"/>
      <c r="AM1006" s="28"/>
    </row>
    <row r="1007" spans="7:39" ht="13">
      <c r="G1007" s="28"/>
      <c r="H1007" s="28"/>
      <c r="I1007" s="28"/>
      <c r="J1007" s="28"/>
      <c r="N1007" s="63"/>
      <c r="O1007" s="63"/>
      <c r="P1007" s="28"/>
      <c r="AB1007" s="28"/>
      <c r="AM1007" s="28"/>
    </row>
    <row r="1008" spans="7:39" ht="13">
      <c r="G1008" s="28"/>
      <c r="H1008" s="28"/>
      <c r="I1008" s="28"/>
      <c r="J1008" s="28"/>
      <c r="N1008" s="63"/>
      <c r="O1008" s="63"/>
      <c r="P1008" s="28"/>
      <c r="AB1008" s="28"/>
      <c r="AM1008" s="28"/>
    </row>
    <row r="1009" spans="7:39" ht="13">
      <c r="G1009" s="28"/>
      <c r="H1009" s="28"/>
      <c r="I1009" s="28"/>
      <c r="J1009" s="28"/>
      <c r="N1009" s="63"/>
      <c r="O1009" s="63"/>
      <c r="P1009" s="28"/>
      <c r="AB1009" s="28"/>
      <c r="AM1009" s="28"/>
    </row>
    <row r="1010" spans="7:39" ht="13">
      <c r="G1010" s="28"/>
      <c r="H1010" s="28"/>
      <c r="I1010" s="28"/>
      <c r="J1010" s="28"/>
      <c r="N1010" s="63"/>
      <c r="O1010" s="63"/>
      <c r="P1010" s="28"/>
      <c r="AB1010" s="28"/>
      <c r="AM1010" s="28"/>
    </row>
    <row r="1011" spans="7:39" ht="13">
      <c r="G1011" s="28"/>
      <c r="H1011" s="28"/>
      <c r="I1011" s="28"/>
      <c r="J1011" s="28"/>
      <c r="N1011" s="63"/>
      <c r="O1011" s="63"/>
      <c r="P1011" s="28"/>
      <c r="AB1011" s="28"/>
      <c r="AM1011" s="28"/>
    </row>
    <row r="1012" spans="7:39" ht="13">
      <c r="G1012" s="28"/>
      <c r="H1012" s="28"/>
      <c r="I1012" s="28"/>
      <c r="J1012" s="28"/>
      <c r="N1012" s="63"/>
      <c r="O1012" s="63"/>
      <c r="P1012" s="28"/>
      <c r="AB1012" s="28"/>
      <c r="AM1012" s="28"/>
    </row>
    <row r="1013" spans="7:39" ht="13">
      <c r="G1013" s="28"/>
      <c r="H1013" s="28"/>
      <c r="I1013" s="28"/>
      <c r="J1013" s="28"/>
      <c r="N1013" s="63"/>
      <c r="O1013" s="63"/>
      <c r="P1013" s="28"/>
      <c r="AB1013" s="28"/>
      <c r="AM1013" s="28"/>
    </row>
    <row r="1014" spans="7:39" ht="13">
      <c r="G1014" s="28"/>
      <c r="H1014" s="28"/>
      <c r="I1014" s="28"/>
      <c r="J1014" s="28"/>
      <c r="N1014" s="63"/>
      <c r="O1014" s="63"/>
      <c r="P1014" s="28"/>
      <c r="AB1014" s="28"/>
      <c r="AM1014" s="28"/>
    </row>
    <row r="1015" spans="7:39" ht="13">
      <c r="G1015" s="28"/>
      <c r="H1015" s="28"/>
      <c r="I1015" s="28"/>
      <c r="J1015" s="28"/>
      <c r="N1015" s="63"/>
      <c r="O1015" s="63"/>
      <c r="P1015" s="28"/>
      <c r="AB1015" s="28"/>
      <c r="AM1015" s="28"/>
    </row>
    <row r="1016" spans="7:39" ht="13">
      <c r="G1016" s="28"/>
      <c r="H1016" s="28"/>
      <c r="I1016" s="28"/>
      <c r="J1016" s="28"/>
      <c r="N1016" s="63"/>
      <c r="O1016" s="63"/>
      <c r="P1016" s="28"/>
      <c r="AB1016" s="28"/>
      <c r="AM1016" s="28"/>
    </row>
    <row r="1017" spans="7:39" ht="13">
      <c r="G1017" s="28"/>
      <c r="H1017" s="28"/>
      <c r="I1017" s="28"/>
      <c r="J1017" s="28"/>
      <c r="N1017" s="63"/>
      <c r="O1017" s="63"/>
      <c r="P1017" s="28"/>
      <c r="AB1017" s="28"/>
      <c r="AM1017" s="28"/>
    </row>
    <row r="1018" spans="7:39" ht="13">
      <c r="G1018" s="28"/>
      <c r="H1018" s="28"/>
      <c r="I1018" s="28"/>
      <c r="J1018" s="28"/>
      <c r="N1018" s="63"/>
      <c r="O1018" s="63"/>
      <c r="P1018" s="28"/>
      <c r="AB1018" s="28"/>
      <c r="AM1018" s="28"/>
    </row>
    <row r="1019" spans="7:39" ht="13">
      <c r="G1019" s="28"/>
      <c r="H1019" s="28"/>
      <c r="I1019" s="28"/>
      <c r="J1019" s="28"/>
      <c r="N1019" s="63"/>
      <c r="O1019" s="63"/>
      <c r="P1019" s="28"/>
      <c r="AB1019" s="28"/>
      <c r="AM1019" s="28"/>
    </row>
    <row r="1020" spans="7:39" ht="13">
      <c r="G1020" s="28"/>
      <c r="H1020" s="28"/>
      <c r="I1020" s="28"/>
      <c r="J1020" s="28"/>
      <c r="N1020" s="63"/>
      <c r="O1020" s="63"/>
      <c r="P1020" s="28"/>
      <c r="AB1020" s="28"/>
      <c r="AM1020" s="28"/>
    </row>
    <row r="1021" spans="7:39" ht="13">
      <c r="G1021" s="28"/>
      <c r="H1021" s="28"/>
      <c r="I1021" s="28"/>
      <c r="J1021" s="28"/>
      <c r="N1021" s="63"/>
      <c r="O1021" s="63"/>
      <c r="P1021" s="28"/>
      <c r="AB1021" s="28"/>
      <c r="AM1021" s="28"/>
    </row>
    <row r="1022" spans="7:39" ht="13">
      <c r="G1022" s="28"/>
      <c r="H1022" s="28"/>
      <c r="I1022" s="28"/>
      <c r="J1022" s="28"/>
      <c r="N1022" s="63"/>
      <c r="O1022" s="63"/>
      <c r="P1022" s="28"/>
      <c r="AB1022" s="28"/>
      <c r="AM1022" s="28"/>
    </row>
    <row r="1023" spans="7:39" ht="13">
      <c r="G1023" s="28"/>
      <c r="H1023" s="28"/>
      <c r="I1023" s="28"/>
      <c r="J1023" s="28"/>
      <c r="N1023" s="63"/>
      <c r="O1023" s="63"/>
      <c r="P1023" s="28"/>
      <c r="AB1023" s="28"/>
      <c r="AM1023" s="28"/>
    </row>
    <row r="1024" spans="7:39" ht="13">
      <c r="G1024" s="28"/>
      <c r="H1024" s="28"/>
      <c r="I1024" s="28"/>
      <c r="J1024" s="28"/>
      <c r="N1024" s="63"/>
      <c r="O1024" s="63"/>
      <c r="P1024" s="28"/>
      <c r="AB1024" s="28"/>
      <c r="AM1024" s="28"/>
    </row>
    <row r="1025" spans="7:39" ht="13">
      <c r="G1025" s="28"/>
      <c r="H1025" s="28"/>
      <c r="I1025" s="28"/>
      <c r="J1025" s="28"/>
      <c r="N1025" s="63"/>
      <c r="O1025" s="63"/>
      <c r="P1025" s="28"/>
      <c r="AB1025" s="28"/>
      <c r="AM1025" s="28"/>
    </row>
  </sheetData>
  <customSheetViews>
    <customSheetView guid="{A55A1127-40B6-4521-877A-DA079FA826D3}" filter="1" showAutoFilter="1">
      <pageMargins left="0.7" right="0.7" top="0.75" bottom="0.75" header="0.3" footer="0.3"/>
      <autoFilter ref="A1:AG197" xr:uid="{F132C014-E6F2-AF43-9F47-9C5D4096FEDE}"/>
    </customSheetView>
    <customSheetView guid="{7D63D7B3-FA9A-471A-99D7-0330874A94DE}" filter="1" showAutoFilter="1">
      <pageMargins left="0.7" right="0.7" top="0.75" bottom="0.75" header="0.3" footer="0.3"/>
      <autoFilter ref="A1:AG197" xr:uid="{B5A3BE7D-D0F5-C04E-BF57-C104B2C2CC13}"/>
    </customSheetView>
  </customSheetViews>
  <conditionalFormatting sqref="J3:J8 J10:J46 AM52:AM59">
    <cfRule type="expression" dxfId="0" priority="1">
      <formula>COUNTIF($J$2:$J$46, J3) &gt; 1</formula>
    </cfRule>
  </conditionalFormatting>
  <dataValidations count="4">
    <dataValidation type="list" allowBlank="1" sqref="I2:I197" xr:uid="{00000000-0002-0000-0200-000000000000}">
      <formula1>"BDSC,VDRC,NIG"</formula1>
    </dataValidation>
    <dataValidation type="custom" allowBlank="1" showDropDown="1" sqref="J2:J197 AM3:AM198" xr:uid="{00000000-0002-0000-0200-000001000000}">
      <formula1>AND(ISNUMBER(J2),(NOT(OR(NOT(ISERROR(DATEVALUE(J2))), AND(ISNUMBER(J2), LEFT(CELL("format", J2))="D")))))</formula1>
    </dataValidation>
    <dataValidation type="list" allowBlank="1" showDropDown="1" showErrorMessage="1" sqref="I198:I202" xr:uid="{00000000-0002-0000-0200-000002000000}">
      <formula1>"BDSC,VDRC"</formula1>
    </dataValidation>
    <dataValidation type="list" allowBlank="1" showErrorMessage="1" sqref="AD23:AE23" xr:uid="{00000000-0002-0000-0200-000003000000}">
      <formula1>"yes,yes* LD only,yes* DD only,no"</formula1>
    </dataValidation>
  </dataValidations>
  <hyperlinks>
    <hyperlink ref="AM29" r:id="rId1" display="https://shop.vbc.ac.at/vdrc_store/109849.html" xr:uid="{00000000-0004-0000-0200-000000000000}"/>
    <hyperlink ref="AM75" r:id="rId2" display="https://shop.vbc.ac.at/vdrc_store/109849.html" xr:uid="{00000000-0004-0000-0200-000001000000}"/>
  </hyperlinks>
  <printOptions horizontalCentered="1" gridLines="1"/>
  <pageMargins left="0.25" right="0.25" top="0.75" bottom="0.75" header="0" footer="0"/>
  <pageSetup fitToHeight="0" pageOrder="overThenDown" orientation="landscape" cellComments="atEnd"/>
  <tableParts count="6"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Timeline 1</vt:lpstr>
      <vt:lpstr>experiments</vt:lpstr>
      <vt:lpstr>Masterlist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Shah, Aadish</cp:lastModifiedBy>
  <dcterms:modified xsi:type="dcterms:W3CDTF">2026-04-14T17:16:14Z</dcterms:modified>
</cp:coreProperties>
</file>